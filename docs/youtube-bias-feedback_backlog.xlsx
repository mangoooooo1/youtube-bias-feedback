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8160\github\youtube-bias-feedback\docs\"/>
    </mc:Choice>
  </mc:AlternateContent>
  <xr:revisionPtr revIDLastSave="0" documentId="13_ncr:1_{731918E5-09A9-4093-A318-3E7AF024F672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백로그" sheetId="1" r:id="rId1"/>
    <sheet name="에픽별 요약" sheetId="2" r:id="rId2"/>
    <sheet name="미분류·확인 필요" sheetId="3" r:id="rId3"/>
  </sheets>
  <definedNames>
    <definedName name="_xlnm._FilterDatabase" localSheetId="0" hidden="1">백로그!$A$1:$K$160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" i="2" l="1"/>
  <c r="G10" i="2"/>
  <c r="E10" i="2"/>
  <c r="D10" i="2"/>
  <c r="C10" i="2"/>
  <c r="F10" i="2" s="1"/>
  <c r="I10" i="2" s="1"/>
  <c r="H9" i="2"/>
  <c r="G9" i="2"/>
  <c r="E9" i="2"/>
  <c r="D9" i="2"/>
  <c r="C9" i="2"/>
  <c r="H8" i="2"/>
  <c r="G8" i="2"/>
  <c r="E8" i="2"/>
  <c r="D8" i="2"/>
  <c r="C8" i="2"/>
  <c r="H7" i="2"/>
  <c r="G7" i="2"/>
  <c r="E7" i="2"/>
  <c r="D7" i="2"/>
  <c r="C7" i="2"/>
  <c r="F7" i="2" s="1"/>
  <c r="H6" i="2"/>
  <c r="G6" i="2"/>
  <c r="E6" i="2"/>
  <c r="D6" i="2"/>
  <c r="C6" i="2"/>
  <c r="F6" i="2" s="1"/>
  <c r="H5" i="2"/>
  <c r="G5" i="2"/>
  <c r="E5" i="2"/>
  <c r="D5" i="2"/>
  <c r="C5" i="2"/>
  <c r="H4" i="2"/>
  <c r="G4" i="2"/>
  <c r="E4" i="2"/>
  <c r="D4" i="2"/>
  <c r="C4" i="2"/>
  <c r="H3" i="2"/>
  <c r="G3" i="2"/>
  <c r="E3" i="2"/>
  <c r="D3" i="2"/>
  <c r="C3" i="2"/>
  <c r="F3" i="2" s="1"/>
  <c r="I3" i="2" s="1"/>
  <c r="H2" i="2"/>
  <c r="G2" i="2"/>
  <c r="E2" i="2"/>
  <c r="D2" i="2"/>
  <c r="C2" i="2"/>
  <c r="I6" i="2" l="1"/>
  <c r="F9" i="2"/>
  <c r="I9" i="2" s="1"/>
  <c r="F8" i="2"/>
  <c r="I8" i="2" s="1"/>
  <c r="I7" i="2"/>
  <c r="F5" i="2"/>
  <c r="I5" i="2" s="1"/>
  <c r="E11" i="2"/>
  <c r="F4" i="2"/>
  <c r="I4" i="2" s="1"/>
  <c r="H11" i="2"/>
  <c r="D11" i="2"/>
  <c r="G11" i="2"/>
  <c r="C11" i="2"/>
  <c r="F2" i="2"/>
  <c r="I2" i="2" l="1"/>
  <c r="F11" i="2"/>
  <c r="I11" i="2" s="1"/>
</calcChain>
</file>

<file path=xl/sharedStrings.xml><?xml version="1.0" encoding="utf-8"?>
<sst xmlns="http://schemas.openxmlformats.org/spreadsheetml/2006/main" count="1041" uniqueCount="445">
  <si>
    <t>No</t>
  </si>
  <si>
    <t>Epic</t>
  </si>
  <si>
    <t>Story</t>
  </si>
  <si>
    <t>레벨</t>
  </si>
  <si>
    <t>타입</t>
  </si>
  <si>
    <r>
      <rPr>
        <b/>
        <sz val="11"/>
        <color rgb="FFFFFFFF"/>
        <rFont val="Noto Sans CJK SC"/>
        <family val="2"/>
      </rPr>
      <t xml:space="preserve">이슈 </t>
    </r>
    <r>
      <rPr>
        <b/>
        <sz val="11"/>
        <color rgb="FFFFFFFF"/>
        <rFont val="Arial"/>
        <family val="2"/>
      </rPr>
      <t>#</t>
    </r>
  </si>
  <si>
    <t>제목</t>
  </si>
  <si>
    <t>상태</t>
  </si>
  <si>
    <r>
      <rPr>
        <b/>
        <sz val="11"/>
        <color rgb="FFFFFFFF"/>
        <rFont val="Noto Sans CJK SC"/>
        <family val="2"/>
      </rPr>
      <t xml:space="preserve">연결 </t>
    </r>
    <r>
      <rPr>
        <b/>
        <sz val="11"/>
        <color rgb="FFFFFFFF"/>
        <rFont val="Arial"/>
        <family val="2"/>
      </rPr>
      <t>PR</t>
    </r>
  </si>
  <si>
    <r>
      <rPr>
        <b/>
        <sz val="11"/>
        <color rgb="FFFFFFFF"/>
        <rFont val="Noto Sans CJK SC"/>
        <family val="2"/>
      </rPr>
      <t xml:space="preserve">부모 </t>
    </r>
    <r>
      <rPr>
        <b/>
        <sz val="11"/>
        <color rgb="FFFFFFFF"/>
        <rFont val="Arial"/>
        <family val="2"/>
      </rPr>
      <t>#</t>
    </r>
  </si>
  <si>
    <t>링크</t>
  </si>
  <si>
    <t>비고</t>
  </si>
  <si>
    <t>Epic 1</t>
  </si>
  <si>
    <r>
      <rPr>
        <b/>
        <sz val="10"/>
        <rFont val="Arial"/>
        <family val="2"/>
      </rPr>
      <t xml:space="preserve">Epic 1: </t>
    </r>
    <r>
      <rPr>
        <b/>
        <sz val="10"/>
        <rFont val="Noto Sans CJK SC"/>
        <family val="2"/>
      </rPr>
      <t xml:space="preserve">크롬 확장 프로그램 </t>
    </r>
    <r>
      <rPr>
        <b/>
        <sz val="10"/>
        <rFont val="Arial"/>
        <family val="2"/>
      </rPr>
      <t xml:space="preserve">- </t>
    </r>
    <r>
      <rPr>
        <b/>
        <sz val="10"/>
        <rFont val="Noto Sans CJK SC"/>
        <family val="2"/>
      </rPr>
      <t>핵심 데이터 수집</t>
    </r>
  </si>
  <si>
    <t>Closed</t>
  </si>
  <si>
    <t>#1</t>
  </si>
  <si>
    <t>Story 1-1</t>
  </si>
  <si>
    <r>
      <rPr>
        <b/>
        <sz val="10"/>
        <rFont val="Arial"/>
        <family val="2"/>
      </rPr>
      <t xml:space="preserve">    Story 1-1: YouTube </t>
    </r>
    <r>
      <rPr>
        <b/>
        <sz val="10"/>
        <rFont val="Noto Sans CJK SC"/>
        <family val="2"/>
      </rPr>
      <t xml:space="preserve">재생 영상 </t>
    </r>
    <r>
      <rPr>
        <b/>
        <sz val="10"/>
        <rFont val="Arial"/>
        <family val="2"/>
      </rPr>
      <t>ID</t>
    </r>
    <r>
      <rPr>
        <b/>
        <sz val="10"/>
        <rFont val="Noto Sans CJK SC"/>
        <family val="2"/>
      </rPr>
      <t>와 제목을 자동으로 감지할 수 있다</t>
    </r>
  </si>
  <si>
    <t>#2</t>
  </si>
  <si>
    <t>Task</t>
  </si>
  <si>
    <r>
      <rPr>
        <sz val="10"/>
        <rFont val="Arial"/>
        <family val="2"/>
      </rPr>
      <t xml:space="preserve">        manifest.json </t>
    </r>
    <r>
      <rPr>
        <sz val="10"/>
        <rFont val="Noto Sans CJK SC"/>
        <family val="2"/>
      </rPr>
      <t>기본 구조 작성</t>
    </r>
  </si>
  <si>
    <t>#3</t>
  </si>
  <si>
    <r>
      <rPr>
        <sz val="10"/>
        <rFont val="Arial"/>
        <family val="2"/>
      </rPr>
      <t xml:space="preserve">        content script, background service worker </t>
    </r>
    <r>
      <rPr>
        <sz val="10"/>
        <rFont val="Noto Sans CJK SC"/>
        <family val="2"/>
      </rPr>
      <t>파일 뼈대 생성</t>
    </r>
  </si>
  <si>
    <t>#4</t>
  </si>
  <si>
    <r>
      <rPr>
        <sz val="10"/>
        <rFont val="Arial"/>
        <family val="2"/>
      </rPr>
      <t xml:space="preserve">        YouTube URL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2"/>
      </rPr>
      <t xml:space="preserve">videoId </t>
    </r>
    <r>
      <rPr>
        <sz val="10"/>
        <rFont val="Noto Sans CJK SC"/>
        <family val="2"/>
      </rPr>
      <t>파라미터 추출 로직 구현</t>
    </r>
  </si>
  <si>
    <t>#5</t>
  </si>
  <si>
    <r>
      <rPr>
        <sz val="10"/>
        <rFont val="Arial"/>
        <family val="2"/>
      </rPr>
      <t xml:space="preserve">        MutationObserver</t>
    </r>
    <r>
      <rPr>
        <sz val="10"/>
        <rFont val="Noto Sans CJK SC"/>
        <family val="2"/>
      </rPr>
      <t xml:space="preserve">로 </t>
    </r>
    <r>
      <rPr>
        <sz val="10"/>
        <rFont val="Arial"/>
        <family val="2"/>
      </rPr>
      <t xml:space="preserve">YouTube SPA </t>
    </r>
    <r>
      <rPr>
        <sz val="10"/>
        <rFont val="Noto Sans CJK SC"/>
        <family val="2"/>
      </rPr>
      <t>페이지 이동 감지 구현</t>
    </r>
  </si>
  <si>
    <t>#6</t>
  </si>
  <si>
    <r>
      <rPr>
        <sz val="10"/>
        <rFont val="Noto Sans CJK SC"/>
        <family val="2"/>
      </rPr>
      <t xml:space="preserve">        영상 제목 </t>
    </r>
    <r>
      <rPr>
        <sz val="10"/>
        <rFont val="Arial"/>
        <family val="2"/>
      </rPr>
      <t>DOM</t>
    </r>
    <r>
      <rPr>
        <sz val="10"/>
        <rFont val="Noto Sans CJK SC"/>
        <family val="2"/>
      </rPr>
      <t>에서 파싱하는 로직 구현</t>
    </r>
  </si>
  <si>
    <t>#7</t>
  </si>
  <si>
    <r>
      <rPr>
        <sz val="10"/>
        <rFont val="Arial"/>
        <family val="2"/>
      </rPr>
      <t xml:space="preserve">        feat: YouTube </t>
    </r>
    <r>
      <rPr>
        <sz val="10"/>
        <rFont val="Noto Sans CJK SC"/>
        <family val="2"/>
      </rPr>
      <t xml:space="preserve">재생 영상 </t>
    </r>
    <r>
      <rPr>
        <sz val="10"/>
        <rFont val="Arial"/>
        <family val="2"/>
      </rPr>
      <t>ID</t>
    </r>
    <r>
      <rPr>
        <sz val="10"/>
        <rFont val="Noto Sans CJK SC"/>
        <family val="2"/>
      </rPr>
      <t>와 제목 자동 감지</t>
    </r>
  </si>
  <si>
    <t>#56</t>
  </si>
  <si>
    <t>#55</t>
  </si>
  <si>
    <t>Story 1-2</t>
  </si>
  <si>
    <r>
      <rPr>
        <b/>
        <sz val="10"/>
        <rFont val="Arial"/>
        <family val="2"/>
      </rPr>
      <t xml:space="preserve">    Story 1-2: </t>
    </r>
    <r>
      <rPr>
        <b/>
        <sz val="10"/>
        <rFont val="Noto Sans CJK SC"/>
        <family val="2"/>
      </rPr>
      <t>감지된 영상 데이터를 세션 단위로 로컬에 저장할 수 있다</t>
    </r>
  </si>
  <si>
    <t>#8</t>
  </si>
  <si>
    <r>
      <rPr>
        <sz val="10"/>
        <rFont val="Arial"/>
        <family val="2"/>
      </rPr>
      <t xml:space="preserve">        chrome.storage.local </t>
    </r>
    <r>
      <rPr>
        <sz val="10"/>
        <rFont val="Noto Sans CJK SC"/>
        <family val="2"/>
      </rPr>
      <t>저장 데이터 구조 설계 및 구현</t>
    </r>
  </si>
  <si>
    <t>#9</t>
  </si>
  <si>
    <r>
      <rPr>
        <sz val="10"/>
        <rFont val="Noto Sans CJK SC"/>
        <family val="2"/>
      </rPr>
      <t xml:space="preserve">        중복 </t>
    </r>
    <r>
      <rPr>
        <sz val="10"/>
        <rFont val="Arial"/>
        <family val="2"/>
      </rPr>
      <t xml:space="preserve">videoId </t>
    </r>
    <r>
      <rPr>
        <sz val="10"/>
        <rFont val="Noto Sans CJK SC"/>
        <family val="2"/>
      </rPr>
      <t>방지 로직 구현</t>
    </r>
  </si>
  <si>
    <t>#10</t>
  </si>
  <si>
    <r>
      <rPr>
        <sz val="10"/>
        <rFont val="Noto Sans CJK SC"/>
        <family val="2"/>
      </rPr>
      <t xml:space="preserve">        저장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조회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초기화 유틸 함수 모듈화</t>
    </r>
  </si>
  <si>
    <t>#11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</si>
  <si>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감지된 영상 데이터를 세션 단위로 로컬에 저장할 수 있다</t>
    </r>
  </si>
  <si>
    <t>#58</t>
  </si>
  <si>
    <t>#57</t>
  </si>
  <si>
    <t>Epic 2</t>
  </si>
  <si>
    <r>
      <rPr>
        <b/>
        <sz val="10"/>
        <rFont val="Arial"/>
        <family val="2"/>
      </rPr>
      <t xml:space="preserve">Epic 2: </t>
    </r>
    <r>
      <rPr>
        <b/>
        <sz val="10"/>
        <rFont val="Noto Sans CJK SC"/>
        <family val="2"/>
      </rPr>
      <t>분석 파이프라인</t>
    </r>
  </si>
  <si>
    <t>#12</t>
  </si>
  <si>
    <t>Story 2-1</t>
  </si>
  <si>
    <r>
      <rPr>
        <b/>
        <sz val="10"/>
        <rFont val="Arial"/>
        <family val="2"/>
      </rPr>
      <t xml:space="preserve">    Story 2-1: 30</t>
    </r>
    <r>
      <rPr>
        <b/>
        <sz val="10"/>
        <rFont val="Noto Sans CJK SC"/>
        <family val="2"/>
      </rPr>
      <t>분 비활성 기준으로 세션 종료를 자동으로 감지할 수 있다</t>
    </r>
  </si>
  <si>
    <t>#13</t>
  </si>
  <si>
    <t xml:space="preserve">        마지막 시청 시각 갱신 로직 구현</t>
  </si>
  <si>
    <t>#14</t>
  </si>
  <si>
    <r>
      <rPr>
        <sz val="10"/>
        <rFont val="Arial"/>
        <family val="2"/>
      </rPr>
      <t xml:space="preserve">        30</t>
    </r>
    <r>
      <rPr>
        <sz val="10"/>
        <rFont val="Noto Sans CJK SC"/>
        <family val="2"/>
      </rPr>
      <t>분 타임아웃 감지 및 세션 종료 트리거 구현</t>
    </r>
  </si>
  <si>
    <t>#15</t>
  </si>
  <si>
    <r>
      <rPr>
        <sz val="10"/>
        <rFont val="Noto Sans CJK SC"/>
        <family val="2"/>
      </rPr>
      <t xml:space="preserve">        세션 시작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종료 시간 및 세션 </t>
    </r>
    <r>
      <rPr>
        <sz val="10"/>
        <rFont val="Arial"/>
        <family val="2"/>
      </rPr>
      <t xml:space="preserve">ID </t>
    </r>
    <r>
      <rPr>
        <sz val="10"/>
        <rFont val="Noto Sans CJK SC"/>
        <family val="2"/>
      </rPr>
      <t>기록 로직 구현</t>
    </r>
  </si>
  <si>
    <t>#16</t>
  </si>
  <si>
    <r>
      <rPr>
        <sz val="10"/>
        <rFont val="Arial"/>
        <family val="2"/>
      </rPr>
      <t xml:space="preserve">        feat: 30</t>
    </r>
    <r>
      <rPr>
        <sz val="10"/>
        <rFont val="Noto Sans CJK SC"/>
        <family val="2"/>
      </rPr>
      <t>분 비활성 기준으로 세션 종료를 자동으로 감지할 수 있다</t>
    </r>
  </si>
  <si>
    <t>#60</t>
  </si>
  <si>
    <t>#59</t>
  </si>
  <si>
    <t>Bug</t>
  </si>
  <si>
    <r>
      <rPr>
        <sz val="10"/>
        <rFont val="Arial"/>
        <family val="2"/>
      </rPr>
      <t xml:space="preserve">        fix: Service worker</t>
    </r>
    <r>
      <rPr>
        <sz val="10"/>
        <rFont val="Noto Sans CJK SC"/>
        <family val="2"/>
      </rPr>
      <t>가 비활성 상태에서 영상이 세션이 기록되지 않는 문제</t>
    </r>
  </si>
  <si>
    <t>#94</t>
  </si>
  <si>
    <t>#93</t>
  </si>
  <si>
    <t>Story 2-2</t>
  </si>
  <si>
    <r>
      <rPr>
        <b/>
        <sz val="10"/>
        <rFont val="Arial"/>
        <family val="2"/>
      </rPr>
      <t xml:space="preserve">    Story 2-2: </t>
    </r>
    <r>
      <rPr>
        <b/>
        <sz val="10"/>
        <rFont val="Noto Sans CJK SC"/>
        <family val="2"/>
      </rPr>
      <t xml:space="preserve">영상 </t>
    </r>
    <r>
      <rPr>
        <b/>
        <sz val="10"/>
        <rFont val="Arial"/>
        <family val="2"/>
      </rPr>
      <t>ID</t>
    </r>
    <r>
      <rPr>
        <b/>
        <sz val="10"/>
        <rFont val="Noto Sans CJK SC"/>
        <family val="2"/>
      </rPr>
      <t xml:space="preserve">로 </t>
    </r>
    <r>
      <rPr>
        <b/>
        <sz val="10"/>
        <rFont val="Arial"/>
        <family val="2"/>
      </rPr>
      <t>YouTube Data API</t>
    </r>
    <r>
      <rPr>
        <b/>
        <sz val="10"/>
        <rFont val="Noto Sans CJK SC"/>
        <family val="2"/>
      </rPr>
      <t>를 통해 카테고리 정보를 조회할 수 있다</t>
    </r>
  </si>
  <si>
    <t>#17</t>
  </si>
  <si>
    <r>
      <rPr>
        <sz val="10"/>
        <rFont val="Arial"/>
        <family val="2"/>
      </rPr>
      <t xml:space="preserve">        YouTube Data API v3 </t>
    </r>
    <r>
      <rPr>
        <sz val="10"/>
        <rFont val="Noto Sans CJK SC"/>
        <family val="2"/>
      </rPr>
      <t>키 발급 및 환경 설정</t>
    </r>
  </si>
  <si>
    <t>#18</t>
  </si>
  <si>
    <r>
      <rPr>
        <sz val="10"/>
        <rFont val="Arial"/>
        <family val="2"/>
      </rPr>
      <t xml:space="preserve">        videos.list API </t>
    </r>
    <r>
      <rPr>
        <sz val="10"/>
        <rFont val="Noto Sans CJK SC"/>
        <family val="2"/>
      </rPr>
      <t>호출 함수 구현</t>
    </r>
  </si>
  <si>
    <t>#19</t>
  </si>
  <si>
    <r>
      <rPr>
        <sz val="10"/>
        <rFont val="Arial"/>
        <family val="2"/>
      </rPr>
      <t xml:space="preserve">        categoryId → </t>
    </r>
    <r>
      <rPr>
        <sz val="10"/>
        <rFont val="Noto Sans CJK SC"/>
        <family val="2"/>
      </rPr>
      <t>카테고리명 매핑 테이블 작성</t>
    </r>
  </si>
  <si>
    <t>#20</t>
  </si>
  <si>
    <r>
      <rPr>
        <sz val="10"/>
        <rFont val="Arial"/>
        <family val="2"/>
      </rPr>
      <t xml:space="preserve">        API </t>
    </r>
    <r>
      <rPr>
        <sz val="10"/>
        <rFont val="Noto Sans CJK SC"/>
        <family val="2"/>
      </rPr>
      <t>에러 처리 및 할당량 초과 대응 로직 구현</t>
    </r>
  </si>
  <si>
    <t>#21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</si>
  <si>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영상 </t>
    </r>
    <r>
      <rPr>
        <sz val="10"/>
        <rFont val="Arial"/>
        <family val="2"/>
      </rPr>
      <t>ID</t>
    </r>
    <r>
      <rPr>
        <sz val="10"/>
        <rFont val="Noto Sans CJK SC"/>
        <family val="2"/>
      </rPr>
      <t xml:space="preserve">로 </t>
    </r>
    <r>
      <rPr>
        <sz val="10"/>
        <rFont val="Arial"/>
        <family val="2"/>
      </rPr>
      <t>YouTube Data API</t>
    </r>
    <r>
      <rPr>
        <sz val="10"/>
        <rFont val="Noto Sans CJK SC"/>
        <family val="2"/>
      </rPr>
      <t>를 통해 카테고리 정보를 조회할 수 있다</t>
    </r>
  </si>
  <si>
    <t>#62</t>
  </si>
  <si>
    <t>#61</t>
  </si>
  <si>
    <t>Story 2-3</t>
  </si>
  <si>
    <r>
      <rPr>
        <b/>
        <sz val="10"/>
        <rFont val="Arial"/>
        <family val="2"/>
      </rPr>
      <t xml:space="preserve">    Story 2-3: </t>
    </r>
    <r>
      <rPr>
        <b/>
        <sz val="10"/>
        <rFont val="Noto Sans CJK SC"/>
        <family val="2"/>
      </rPr>
      <t xml:space="preserve">세션별 카테고리 분포를 </t>
    </r>
    <r>
      <rPr>
        <b/>
        <sz val="10"/>
        <rFont val="Arial"/>
        <family val="2"/>
      </rPr>
      <t>Shannon Entropy</t>
    </r>
    <r>
      <rPr>
        <b/>
        <sz val="10"/>
        <rFont val="Noto Sans CJK SC"/>
        <family val="2"/>
      </rPr>
      <t>로 계산할 수 있다</t>
    </r>
  </si>
  <si>
    <t>#22</t>
  </si>
  <si>
    <t xml:space="preserve">        카테고리별 비율 계산 함수 구현</t>
  </si>
  <si>
    <t>#23</t>
  </si>
  <si>
    <r>
      <rPr>
        <sz val="10"/>
        <rFont val="Arial"/>
        <family val="2"/>
      </rPr>
      <t xml:space="preserve">        Shannon Entropy </t>
    </r>
    <r>
      <rPr>
        <sz val="10"/>
        <rFont val="Noto Sans CJK SC"/>
        <family val="2"/>
      </rPr>
      <t>계산 함수 구현</t>
    </r>
  </si>
  <si>
    <t>#24</t>
  </si>
  <si>
    <r>
      <rPr>
        <sz val="10"/>
        <rFont val="Noto Sans CJK SC"/>
        <family val="2"/>
      </rPr>
      <t xml:space="preserve">        세션 분석 결과 데이터 구조 정의 및 </t>
    </r>
    <r>
      <rPr>
        <sz val="10"/>
        <rFont val="Arial"/>
        <family val="2"/>
      </rPr>
      <t xml:space="preserve">storage </t>
    </r>
    <r>
      <rPr>
        <sz val="10"/>
        <rFont val="Noto Sans CJK SC"/>
        <family val="2"/>
      </rPr>
      <t>저장</t>
    </r>
  </si>
  <si>
    <t>#25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</si>
  <si>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세션별 카테고리 분포를 </t>
    </r>
    <r>
      <rPr>
        <sz val="10"/>
        <rFont val="Arial"/>
        <family val="2"/>
      </rPr>
      <t>Shannon Entropy</t>
    </r>
    <r>
      <rPr>
        <sz val="10"/>
        <rFont val="Noto Sans CJK SC"/>
        <family val="2"/>
      </rPr>
      <t>로 계산할 수 있다</t>
    </r>
  </si>
  <si>
    <t>#64</t>
  </si>
  <si>
    <t>#63</t>
  </si>
  <si>
    <t>Story 2-4</t>
  </si>
  <si>
    <r>
      <rPr>
        <b/>
        <sz val="10"/>
        <rFont val="Arial"/>
        <family val="2"/>
      </rPr>
      <t xml:space="preserve">    Story 2-4: LLM API</t>
    </r>
    <r>
      <rPr>
        <b/>
        <sz val="10"/>
        <rFont val="Noto Sans CJK SC"/>
        <family val="2"/>
      </rPr>
      <t>를 통해 카테고리 분포 기반 자연어 리뷰를 자동 생성할 수 있다</t>
    </r>
  </si>
  <si>
    <t>#26</t>
  </si>
  <si>
    <r>
      <rPr>
        <sz val="10"/>
        <rFont val="Arial"/>
        <family val="2"/>
      </rPr>
      <t xml:space="preserve">        LLM API </t>
    </r>
    <r>
      <rPr>
        <sz val="10"/>
        <rFont val="Noto Sans CJK SC"/>
        <family val="2"/>
      </rPr>
      <t>선택 및 키 발급</t>
    </r>
  </si>
  <si>
    <t>#27</t>
  </si>
  <si>
    <r>
      <rPr>
        <sz val="10"/>
        <rFont val="Noto Sans CJK SC"/>
        <family val="2"/>
      </rPr>
      <t xml:space="preserve">        카테고리 분포를 </t>
    </r>
    <r>
      <rPr>
        <sz val="10"/>
        <rFont val="Arial"/>
        <family val="2"/>
      </rPr>
      <t xml:space="preserve">LLM </t>
    </r>
    <r>
      <rPr>
        <sz val="10"/>
        <rFont val="Noto Sans CJK SC"/>
        <family val="2"/>
      </rPr>
      <t>프롬프트로 변환하는 함수 구현</t>
    </r>
  </si>
  <si>
    <t>#28</t>
  </si>
  <si>
    <r>
      <rPr>
        <sz val="10"/>
        <rFont val="Arial"/>
        <family val="2"/>
      </rPr>
      <t xml:space="preserve">        LLM API </t>
    </r>
    <r>
      <rPr>
        <sz val="10"/>
        <rFont val="Noto Sans CJK SC"/>
        <family val="2"/>
      </rPr>
      <t>호출 및 응답 파싱 함수 구현</t>
    </r>
  </si>
  <si>
    <t>#29</t>
  </si>
  <si>
    <t xml:space="preserve">        리뷰 생성 실패 시 폴백 처리 구현</t>
  </si>
  <si>
    <t>#30</t>
  </si>
  <si>
    <r>
      <rPr>
        <sz val="10"/>
        <rFont val="Arial"/>
        <family val="2"/>
      </rPr>
      <t xml:space="preserve">        feat: LLM API</t>
    </r>
    <r>
      <rPr>
        <sz val="10"/>
        <rFont val="Noto Sans CJK SC"/>
        <family val="2"/>
      </rPr>
      <t>를 통해 카테고리 분포 기반 자연어 리뷰를 자동 생성할 수 있다</t>
    </r>
  </si>
  <si>
    <t>#66</t>
  </si>
  <si>
    <t>#65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</si>
  <si>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시청 패턴 변화 기반 연구 맞춤형 피드백 생성</t>
    </r>
  </si>
  <si>
    <t>#103</t>
  </si>
  <si>
    <t>#102</t>
  </si>
  <si>
    <t>Epic 3</t>
  </si>
  <si>
    <r>
      <rPr>
        <b/>
        <sz val="10"/>
        <rFont val="Arial"/>
        <family val="2"/>
      </rPr>
      <t xml:space="preserve">Epic 3: </t>
    </r>
    <r>
      <rPr>
        <b/>
        <sz val="10"/>
        <rFont val="Noto Sans CJK SC"/>
        <family val="2"/>
      </rPr>
      <t xml:space="preserve">팝업 </t>
    </r>
    <r>
      <rPr>
        <b/>
        <sz val="10"/>
        <rFont val="Arial"/>
        <family val="2"/>
      </rPr>
      <t xml:space="preserve">UI &amp; </t>
    </r>
    <r>
      <rPr>
        <b/>
        <sz val="10"/>
        <rFont val="Noto Sans CJK SC"/>
        <family val="2"/>
      </rPr>
      <t>시각화</t>
    </r>
  </si>
  <si>
    <t>#31</t>
  </si>
  <si>
    <t>Story 3-1</t>
  </si>
  <si>
    <r>
      <rPr>
        <b/>
        <sz val="10"/>
        <rFont val="Arial"/>
        <family val="2"/>
      </rPr>
      <t xml:space="preserve">    Story 3-1: </t>
    </r>
    <r>
      <rPr>
        <b/>
        <sz val="10"/>
        <rFont val="Noto Sans CJK SC"/>
        <family val="2"/>
      </rPr>
      <t>팝업에서 세션의 카테고리 분포를 막대그래프로 확인할 수 있다</t>
    </r>
  </si>
  <si>
    <t>#32</t>
  </si>
  <si>
    <r>
      <rPr>
        <sz val="10"/>
        <rFont val="Arial"/>
        <family val="2"/>
      </rPr>
      <t xml:space="preserve">        popup.html / popup.js </t>
    </r>
    <r>
      <rPr>
        <sz val="10"/>
        <rFont val="Noto Sans CJK SC"/>
        <family val="2"/>
      </rPr>
      <t>기본 구조 작성</t>
    </r>
  </si>
  <si>
    <t>#33</t>
  </si>
  <si>
    <t xml:space="preserve">        카테고리 분포 막대그래프 렌더링 구현</t>
  </si>
  <si>
    <t>#34</t>
  </si>
  <si>
    <r>
      <rPr>
        <sz val="10"/>
        <rFont val="Noto Sans CJK SC"/>
        <family val="2"/>
      </rPr>
      <t xml:space="preserve">        팝업 </t>
    </r>
    <r>
      <rPr>
        <sz val="10"/>
        <rFont val="Arial"/>
        <family val="2"/>
      </rPr>
      <t xml:space="preserve">CSS </t>
    </r>
    <r>
      <rPr>
        <sz val="10"/>
        <rFont val="Noto Sans CJK SC"/>
        <family val="2"/>
      </rPr>
      <t>스타일링</t>
    </r>
  </si>
  <si>
    <t>#35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</si>
  <si>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팝업에서 세션의 카테고리 분포를 막대그래프로 확인할 수 있다</t>
    </r>
  </si>
  <si>
    <t>#68</t>
  </si>
  <si>
    <t>#67</t>
  </si>
  <si>
    <t>Story 3-2</t>
  </si>
  <si>
    <r>
      <rPr>
        <b/>
        <sz val="10"/>
        <rFont val="Arial"/>
        <family val="2"/>
      </rPr>
      <t xml:space="preserve">    Story 3-2: </t>
    </r>
    <r>
      <rPr>
        <b/>
        <sz val="10"/>
        <rFont val="Noto Sans CJK SC"/>
        <family val="2"/>
      </rPr>
      <t>팝업에서 세션 종료 후 자동 생성된 자연어 리뷰를 확인할 수 있다</t>
    </r>
  </si>
  <si>
    <t>#36</t>
  </si>
  <si>
    <t xml:space="preserve">        리뷰 텍스트 표시 영역 구현</t>
  </si>
  <si>
    <t>#37</t>
  </si>
  <si>
    <r>
      <rPr>
        <sz val="10"/>
        <rFont val="Noto Sans CJK SC"/>
        <family val="2"/>
      </rPr>
      <t xml:space="preserve">        리뷰 생성 로딩 상태 </t>
    </r>
    <r>
      <rPr>
        <sz val="10"/>
        <rFont val="Arial"/>
        <family val="2"/>
      </rPr>
      <t xml:space="preserve">UI </t>
    </r>
    <r>
      <rPr>
        <sz val="10"/>
        <rFont val="Noto Sans CJK SC"/>
        <family val="2"/>
      </rPr>
      <t>구현</t>
    </r>
  </si>
  <si>
    <t>#38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</si>
  <si>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팝업에서 세션 종료 후 자동 생성된 자연어 리뷰를 확인할 수 있다</t>
    </r>
  </si>
  <si>
    <t>#70</t>
  </si>
  <si>
    <t>#69</t>
  </si>
  <si>
    <t>Story 3-3</t>
  </si>
  <si>
    <r>
      <rPr>
        <b/>
        <sz val="10"/>
        <rFont val="Arial"/>
        <family val="2"/>
      </rPr>
      <t xml:space="preserve">    Story 3-3: </t>
    </r>
    <r>
      <rPr>
        <b/>
        <sz val="10"/>
        <rFont val="Noto Sans CJK SC"/>
        <family val="2"/>
      </rPr>
      <t>주간 리포트를 통해 기간별 카테고리 소비 패턴 변화를 확인할 수 있다</t>
    </r>
  </si>
  <si>
    <t>#39</t>
  </si>
  <si>
    <r>
      <rPr>
        <sz val="10"/>
        <rFont val="Noto Sans CJK SC"/>
        <family val="2"/>
      </rPr>
      <t xml:space="preserve">        최근 </t>
    </r>
    <r>
      <rPr>
        <sz val="10"/>
        <rFont val="Arial"/>
        <family val="2"/>
      </rPr>
      <t>7</t>
    </r>
    <r>
      <rPr>
        <sz val="10"/>
        <rFont val="Noto Sans CJK SC"/>
        <family val="2"/>
      </rPr>
      <t>일 누적 세션 데이터 집계 함수 구현</t>
    </r>
  </si>
  <si>
    <t>#40</t>
  </si>
  <si>
    <t xml:space="preserve">        주간 카테고리 분포 변화 시각화 구현</t>
  </si>
  <si>
    <t>#41</t>
  </si>
  <si>
    <r>
      <rPr>
        <sz val="10"/>
        <rFont val="Arial"/>
        <family val="2"/>
      </rPr>
      <t xml:space="preserve">        Entropy </t>
    </r>
    <r>
      <rPr>
        <sz val="10"/>
        <rFont val="Noto Sans CJK SC"/>
        <family val="2"/>
      </rPr>
      <t>변화 추이 표시 구현</t>
    </r>
  </si>
  <si>
    <t>#42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</si>
  <si>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주간 리포트를 통해 기간별 카테고리 소비 패턴 변화를 확인할 수 있다</t>
    </r>
  </si>
  <si>
    <t>#72</t>
  </si>
  <si>
    <t>#71</t>
  </si>
  <si>
    <t>Story 3-5</t>
  </si>
  <si>
    <r>
      <rPr>
        <b/>
        <sz val="10"/>
        <rFont val="Arial"/>
        <family val="2"/>
      </rPr>
      <t xml:space="preserve">    Story 3-5: </t>
    </r>
    <r>
      <rPr>
        <b/>
        <sz val="10"/>
        <rFont val="Noto Sans CJK SC"/>
        <family val="2"/>
      </rPr>
      <t xml:space="preserve">참가자마다 익명 </t>
    </r>
    <r>
      <rPr>
        <b/>
        <sz val="10"/>
        <rFont val="Arial"/>
        <family val="2"/>
      </rPr>
      <t>ID</t>
    </r>
    <r>
      <rPr>
        <b/>
        <sz val="10"/>
        <rFont val="Noto Sans CJK SC"/>
        <family val="2"/>
      </rPr>
      <t>가 발급되어 데이터가 참가자 단위로 저장된다</t>
    </r>
  </si>
  <si>
    <t>Open</t>
  </si>
  <si>
    <t>#270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</si>
  <si>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온보딩 시 </t>
    </r>
    <r>
      <rPr>
        <sz val="10"/>
        <rFont val="Arial"/>
        <family val="2"/>
      </rPr>
      <t xml:space="preserve">anonymousId(UUID) </t>
    </r>
    <r>
      <rPr>
        <sz val="10"/>
        <rFont val="Noto Sans CJK SC"/>
        <family val="2"/>
      </rPr>
      <t>생성</t>
    </r>
  </si>
  <si>
    <t>#90</t>
  </si>
  <si>
    <t>#88</t>
  </si>
  <si>
    <t>Story 3-6</t>
  </si>
  <si>
    <r>
      <rPr>
        <b/>
        <sz val="10"/>
        <rFont val="Arial"/>
        <family val="2"/>
      </rPr>
      <t xml:space="preserve">    Story 3-6: </t>
    </r>
    <r>
      <rPr>
        <b/>
        <sz val="10"/>
        <rFont val="Noto Sans CJK SC"/>
        <family val="2"/>
      </rPr>
      <t>참가자가 개편된 팝업에서 집단별 화면과 오늘의 시청 현황을 볼 수 있다</t>
    </r>
  </si>
  <si>
    <t>#290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</si>
  <si>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팝업 </t>
    </r>
    <r>
      <rPr>
        <sz val="10"/>
        <rFont val="Arial"/>
        <family val="2"/>
      </rPr>
      <t xml:space="preserve">UI </t>
    </r>
    <r>
      <rPr>
        <sz val="10"/>
        <rFont val="Noto Sans CJK SC"/>
        <family val="2"/>
      </rPr>
      <t>전면 개편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실험군</t>
    </r>
    <r>
      <rPr>
        <sz val="10"/>
        <rFont val="Arial"/>
        <family val="2"/>
      </rPr>
      <t>/</t>
    </r>
    <r>
      <rPr>
        <sz val="10"/>
        <rFont val="Noto Sans CJK SC"/>
        <family val="2"/>
      </rPr>
      <t xml:space="preserve">대조군에 따른 </t>
    </r>
    <r>
      <rPr>
        <sz val="10"/>
        <rFont val="Arial"/>
        <family val="2"/>
      </rPr>
      <t xml:space="preserve">UI </t>
    </r>
    <r>
      <rPr>
        <sz val="10"/>
        <rFont val="Noto Sans CJK SC"/>
        <family val="2"/>
      </rPr>
      <t>분기</t>
    </r>
    <r>
      <rPr>
        <sz val="10"/>
        <rFont val="Arial"/>
        <family val="2"/>
      </rPr>
      <t>)</t>
    </r>
  </si>
  <si>
    <t>#87</t>
  </si>
  <si>
    <t>#86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</si>
  <si>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오늘의 시청 탭 </t>
    </r>
    <r>
      <rPr>
        <sz val="10"/>
        <rFont val="Arial"/>
        <family val="2"/>
      </rPr>
      <t xml:space="preserve">ux </t>
    </r>
    <r>
      <rPr>
        <sz val="10"/>
        <rFont val="Noto Sans CJK SC"/>
        <family val="2"/>
      </rPr>
      <t>개선</t>
    </r>
  </si>
  <si>
    <t>#96</t>
  </si>
  <si>
    <t>#95</t>
  </si>
  <si>
    <t>Epic 4</t>
  </si>
  <si>
    <r>
      <rPr>
        <b/>
        <sz val="10"/>
        <rFont val="Arial"/>
        <family val="2"/>
      </rPr>
      <t xml:space="preserve">Epic 4: </t>
    </r>
    <r>
      <rPr>
        <b/>
        <sz val="10"/>
        <rFont val="Noto Sans CJK SC"/>
        <family val="2"/>
      </rPr>
      <t xml:space="preserve">백엔드 서버 </t>
    </r>
    <r>
      <rPr>
        <b/>
        <sz val="10"/>
        <rFont val="Arial"/>
        <family val="2"/>
      </rPr>
      <t>- API &amp; DB</t>
    </r>
  </si>
  <si>
    <t>#43</t>
  </si>
  <si>
    <t>Story 4-1</t>
  </si>
  <si>
    <r>
      <rPr>
        <b/>
        <sz val="10"/>
        <rFont val="Arial"/>
        <family val="2"/>
      </rPr>
      <t xml:space="preserve">    Story 4-1: </t>
    </r>
    <r>
      <rPr>
        <b/>
        <sz val="10"/>
        <rFont val="Noto Sans CJK SC"/>
        <family val="2"/>
      </rPr>
      <t xml:space="preserve">서버가 익명화된 세션 분석 결과를 수신하여 </t>
    </r>
    <r>
      <rPr>
        <b/>
        <sz val="10"/>
        <rFont val="Arial"/>
        <family val="2"/>
      </rPr>
      <t>DB</t>
    </r>
    <r>
      <rPr>
        <b/>
        <sz val="10"/>
        <rFont val="Noto Sans CJK SC"/>
        <family val="2"/>
      </rPr>
      <t>에 저장할 수 있다</t>
    </r>
  </si>
  <si>
    <t>#44</t>
  </si>
  <si>
    <r>
      <rPr>
        <sz val="10"/>
        <rFont val="Arial"/>
        <family val="2"/>
      </rPr>
      <t xml:space="preserve">        db.js </t>
    </r>
    <r>
      <rPr>
        <sz val="10"/>
        <rFont val="Noto Sans CJK SC"/>
        <family val="2"/>
      </rPr>
      <t xml:space="preserve">작성 </t>
    </r>
    <r>
      <rPr>
        <sz val="10"/>
        <rFont val="Arial"/>
        <family val="2"/>
      </rPr>
      <t xml:space="preserve">- SQLite </t>
    </r>
    <r>
      <rPr>
        <sz val="10"/>
        <rFont val="Noto Sans CJK SC"/>
        <family val="2"/>
      </rPr>
      <t>연결 및 테이블 초기화</t>
    </r>
  </si>
  <si>
    <t>#45</t>
  </si>
  <si>
    <r>
      <rPr>
        <sz val="10"/>
        <rFont val="Arial"/>
        <family val="2"/>
      </rPr>
      <t xml:space="preserve">        sessions </t>
    </r>
    <r>
      <rPr>
        <sz val="10"/>
        <rFont val="Noto Sans CJK SC"/>
        <family val="2"/>
      </rPr>
      <t>테이블 스키마 정의</t>
    </r>
  </si>
  <si>
    <t>#46</t>
  </si>
  <si>
    <r>
      <rPr>
        <sz val="10"/>
        <rFont val="Arial"/>
        <family val="2"/>
      </rPr>
      <t xml:space="preserve">        POST /api/sessions </t>
    </r>
    <r>
      <rPr>
        <sz val="10"/>
        <rFont val="Noto Sans CJK SC"/>
        <family val="2"/>
      </rPr>
      <t>라우터 구현</t>
    </r>
  </si>
  <si>
    <t>#47</t>
  </si>
  <si>
    <r>
      <rPr>
        <sz val="10"/>
        <rFont val="Arial"/>
        <family val="2"/>
      </rPr>
      <t xml:space="preserve">        sessions </t>
    </r>
    <r>
      <rPr>
        <sz val="10"/>
        <rFont val="Noto Sans CJK SC"/>
        <family val="2"/>
      </rPr>
      <t>라우터 입력값 검증 로직 구현</t>
    </r>
  </si>
  <si>
    <t>#48</t>
  </si>
  <si>
    <r>
      <rPr>
        <sz val="10"/>
        <rFont val="Arial"/>
        <family val="2"/>
      </rPr>
      <t xml:space="preserve">        feat: POST /api/sessions - </t>
    </r>
    <r>
      <rPr>
        <sz val="10"/>
        <rFont val="Noto Sans CJK SC"/>
        <family val="2"/>
      </rPr>
      <t xml:space="preserve">익명화된 세션 분석 결과 수신하여 </t>
    </r>
    <r>
      <rPr>
        <sz val="10"/>
        <rFont val="Arial"/>
        <family val="2"/>
      </rPr>
      <t>DB</t>
    </r>
    <r>
      <rPr>
        <sz val="10"/>
        <rFont val="Noto Sans CJK SC"/>
        <family val="2"/>
      </rPr>
      <t>에 저장할 수 있다</t>
    </r>
  </si>
  <si>
    <t>#74</t>
  </si>
  <si>
    <t>#73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</si>
  <si>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세션 분석 완료 후 서버 전송</t>
    </r>
  </si>
  <si>
    <t>#92</t>
  </si>
  <si>
    <t>#89</t>
  </si>
  <si>
    <t>Story 4-2</t>
  </si>
  <si>
    <r>
      <rPr>
        <b/>
        <sz val="10"/>
        <rFont val="Arial"/>
        <family val="2"/>
      </rPr>
      <t xml:space="preserve">    Story 4-2: </t>
    </r>
    <r>
      <rPr>
        <b/>
        <sz val="10"/>
        <rFont val="Noto Sans CJK SC"/>
        <family val="2"/>
      </rPr>
      <t>실험 온보딩 및 설문 알림 기능을 사용할 수 있다</t>
    </r>
  </si>
  <si>
    <t>#49</t>
  </si>
  <si>
    <r>
      <rPr>
        <b/>
        <sz val="10"/>
        <rFont val="Arial"/>
        <family val="2"/>
      </rPr>
      <t xml:space="preserve">    Story 4-2: </t>
    </r>
    <r>
      <rPr>
        <b/>
        <sz val="10"/>
        <rFont val="Noto Sans CJK SC"/>
        <family val="2"/>
      </rPr>
      <t xml:space="preserve">서버가 설문 응답을 수신하여 </t>
    </r>
    <r>
      <rPr>
        <b/>
        <sz val="10"/>
        <rFont val="Arial"/>
        <family val="2"/>
      </rPr>
      <t>DB</t>
    </r>
    <r>
      <rPr>
        <b/>
        <sz val="10"/>
        <rFont val="Noto Sans CJK SC"/>
        <family val="2"/>
      </rPr>
      <t>에 저장할 수 있다</t>
    </r>
  </si>
  <si>
    <t>#271</t>
  </si>
  <si>
    <r>
      <rPr>
        <sz val="10"/>
        <rFont val="Arial"/>
        <family val="2"/>
      </rPr>
      <t xml:space="preserve">        surveys </t>
    </r>
    <r>
      <rPr>
        <sz val="10"/>
        <rFont val="Noto Sans CJK SC"/>
        <family val="2"/>
      </rPr>
      <t>테이블 스키마 정의</t>
    </r>
  </si>
  <si>
    <t>#50</t>
  </si>
  <si>
    <r>
      <rPr>
        <sz val="10"/>
        <rFont val="Arial"/>
        <family val="2"/>
      </rPr>
      <t xml:space="preserve">        feat: POST /api/surveys </t>
    </r>
    <r>
      <rPr>
        <sz val="10"/>
        <rFont val="Noto Sans CJK SC"/>
        <family val="2"/>
      </rPr>
      <t>라우터 구현</t>
    </r>
  </si>
  <si>
    <t>#51</t>
  </si>
  <si>
    <t>Story 4-3</t>
  </si>
  <si>
    <r>
      <rPr>
        <b/>
        <sz val="10"/>
        <rFont val="Arial"/>
        <family val="2"/>
      </rPr>
      <t xml:space="preserve">    Story 4-3: </t>
    </r>
    <r>
      <rPr>
        <b/>
        <sz val="10"/>
        <rFont val="Noto Sans CJK SC"/>
        <family val="2"/>
      </rPr>
      <t>서버를 외부에 배포하여 확장 프로그램과 통신할 수 있다</t>
    </r>
  </si>
  <si>
    <t>#78</t>
  </si>
  <si>
    <r>
      <rPr>
        <sz val="10"/>
        <rFont val="Arial"/>
        <family val="2"/>
      </rPr>
      <t xml:space="preserve">        chore: </t>
    </r>
    <r>
      <rPr>
        <sz val="10"/>
        <rFont val="Noto Sans CJK SC"/>
        <family val="2"/>
      </rPr>
      <t xml:space="preserve">서버 외부 배포 및 </t>
    </r>
    <r>
      <rPr>
        <sz val="10"/>
        <rFont val="Arial"/>
        <family val="2"/>
      </rPr>
      <t xml:space="preserve">/health </t>
    </r>
    <r>
      <rPr>
        <sz val="10"/>
        <rFont val="Noto Sans CJK SC"/>
        <family val="2"/>
      </rPr>
      <t>확인</t>
    </r>
  </si>
  <si>
    <t>#52</t>
  </si>
  <si>
    <r>
      <rPr>
        <sz val="10"/>
        <rFont val="Arial"/>
        <family val="2"/>
      </rPr>
      <t xml:space="preserve">        docs: .env.example </t>
    </r>
    <r>
      <rPr>
        <sz val="10"/>
        <rFont val="Noto Sans CJK SC"/>
        <family val="2"/>
      </rPr>
      <t>파일 작성</t>
    </r>
  </si>
  <si>
    <t>#53</t>
  </si>
  <si>
    <r>
      <rPr>
        <sz val="10"/>
        <rFont val="Arial"/>
        <family val="2"/>
      </rPr>
      <t xml:space="preserve">        deploy: </t>
    </r>
    <r>
      <rPr>
        <sz val="10"/>
        <rFont val="Noto Sans CJK SC"/>
        <family val="2"/>
      </rPr>
      <t>서버 배포</t>
    </r>
  </si>
  <si>
    <t>#54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</si>
  <si>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서버를 외부에 배포하여 확장 프로그램과 통신할 수 있다</t>
    </r>
  </si>
  <si>
    <t>#80</t>
  </si>
  <si>
    <t>#79</t>
  </si>
  <si>
    <t>Epic 5</t>
  </si>
  <si>
    <r>
      <rPr>
        <b/>
        <sz val="10"/>
        <rFont val="Arial"/>
        <family val="2"/>
      </rPr>
      <t xml:space="preserve">Epic 5: </t>
    </r>
    <r>
      <rPr>
        <b/>
        <sz val="10"/>
        <rFont val="Noto Sans CJK SC"/>
        <family val="2"/>
      </rPr>
      <t>데이터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개인정보 보강</t>
    </r>
  </si>
  <si>
    <t>#127</t>
  </si>
  <si>
    <t>Story 10-1</t>
  </si>
  <si>
    <r>
      <rPr>
        <b/>
        <sz val="10"/>
        <rFont val="Arial"/>
        <family val="2"/>
      </rPr>
      <t xml:space="preserve">    Story 10-1: </t>
    </r>
    <r>
      <rPr>
        <b/>
        <sz val="10"/>
        <rFont val="Noto Sans CJK SC"/>
        <family val="2"/>
      </rPr>
      <t xml:space="preserve">가명처리 기반 식별자 체계 및 </t>
    </r>
    <r>
      <rPr>
        <b/>
        <sz val="10"/>
        <rFont val="Arial"/>
        <family val="2"/>
      </rPr>
      <t xml:space="preserve">IRB / </t>
    </r>
    <r>
      <rPr>
        <b/>
        <sz val="10"/>
        <rFont val="Noto Sans CJK SC"/>
        <family val="2"/>
      </rPr>
      <t>개인정보 처리방침 재설계</t>
    </r>
  </si>
  <si>
    <t>#129</t>
  </si>
  <si>
    <t>#128</t>
  </si>
  <si>
    <t>Story 5-2</t>
  </si>
  <si>
    <r>
      <rPr>
        <b/>
        <sz val="10"/>
        <rFont val="Arial"/>
        <family val="2"/>
      </rPr>
      <t xml:space="preserve">    Story 5-2: </t>
    </r>
    <r>
      <rPr>
        <b/>
        <sz val="10"/>
        <rFont val="Noto Sans CJK SC"/>
        <family val="2"/>
      </rPr>
      <t>데이터 저장소</t>
    </r>
    <r>
      <rPr>
        <b/>
        <sz val="10"/>
        <rFont val="Arial"/>
        <family val="2"/>
      </rPr>
      <t xml:space="preserve">(SQLite) </t>
    </r>
    <r>
      <rPr>
        <b/>
        <sz val="10"/>
        <rFont val="Noto Sans CJK SC"/>
        <family val="2"/>
      </rPr>
      <t>유지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이전 검토 및 스키마 확정</t>
    </r>
  </si>
  <si>
    <t>#131</t>
  </si>
  <si>
    <t>#130</t>
  </si>
  <si>
    <r>
      <rPr>
        <sz val="10"/>
        <rFont val="Noto Sans CJK SC"/>
        <family val="2"/>
      </rPr>
      <t xml:space="preserve">        데이터 저장소</t>
    </r>
    <r>
      <rPr>
        <sz val="10"/>
        <rFont val="Arial"/>
        <family val="2"/>
      </rPr>
      <t xml:space="preserve">(SQLite) </t>
    </r>
    <r>
      <rPr>
        <sz val="10"/>
        <rFont val="Noto Sans CJK SC"/>
        <family val="2"/>
      </rPr>
      <t>유지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이전 검토 및 스키마 확정</t>
    </r>
  </si>
  <si>
    <t>#121</t>
  </si>
  <si>
    <t>#116</t>
  </si>
  <si>
    <t>Story 5-6</t>
  </si>
  <si>
    <r>
      <rPr>
        <b/>
        <sz val="10"/>
        <rFont val="Arial"/>
        <family val="2"/>
      </rPr>
      <t xml:space="preserve">    Story 5-6: </t>
    </r>
    <r>
      <rPr>
        <b/>
        <sz val="10"/>
        <rFont val="Noto Sans CJK SC"/>
        <family val="2"/>
      </rPr>
      <t>세션 분석 완료 알림 및 피드백 열람 유도</t>
    </r>
  </si>
  <si>
    <t>#133</t>
  </si>
  <si>
    <t>#132</t>
  </si>
  <si>
    <t>Story 5-7</t>
  </si>
  <si>
    <r>
      <rPr>
        <b/>
        <sz val="10"/>
        <rFont val="Arial"/>
        <family val="2"/>
      </rPr>
      <t xml:space="preserve">    Story 5-7: </t>
    </r>
    <r>
      <rPr>
        <b/>
        <sz val="10"/>
        <rFont val="Noto Sans CJK SC"/>
        <family val="2"/>
      </rPr>
      <t>세밀 다양성 신호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>토픽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채널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발견 경로</t>
    </r>
    <r>
      <rPr>
        <b/>
        <sz val="10"/>
        <rFont val="Arial"/>
        <family val="2"/>
      </rPr>
      <t>)</t>
    </r>
  </si>
  <si>
    <t>#141</t>
  </si>
  <si>
    <t>#140</t>
  </si>
  <si>
    <t>Story 5-8</t>
  </si>
  <si>
    <r>
      <rPr>
        <b/>
        <sz val="10"/>
        <rFont val="Arial"/>
        <family val="2"/>
      </rPr>
      <t xml:space="preserve">    Story 5-8: 2</t>
    </r>
    <r>
      <rPr>
        <b/>
        <sz val="10"/>
        <rFont val="Noto Sans CJK SC"/>
        <family val="2"/>
      </rPr>
      <t>주 베이스라인 이후 그룹</t>
    </r>
    <r>
      <rPr>
        <b/>
        <sz val="10"/>
        <rFont val="Arial"/>
        <family val="2"/>
      </rPr>
      <t xml:space="preserve">(CON/EXP) </t>
    </r>
    <r>
      <rPr>
        <b/>
        <sz val="10"/>
        <rFont val="Noto Sans CJK SC"/>
        <family val="2"/>
      </rPr>
      <t>분기 전달</t>
    </r>
  </si>
  <si>
    <t>#137</t>
  </si>
  <si>
    <t>#136</t>
  </si>
  <si>
    <t>Story 5-9</t>
  </si>
  <si>
    <r>
      <rPr>
        <b/>
        <sz val="10"/>
        <rFont val="Arial"/>
        <family val="2"/>
      </rPr>
      <t xml:space="preserve">    Story 5-9: </t>
    </r>
    <r>
      <rPr>
        <b/>
        <sz val="10"/>
        <rFont val="Noto Sans CJK SC"/>
        <family val="2"/>
      </rPr>
      <t>설문 척도 설계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 xml:space="preserve">검증 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>다문항화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파일럿</t>
    </r>
    <r>
      <rPr>
        <b/>
        <sz val="10"/>
        <rFont val="Arial"/>
        <family val="2"/>
      </rPr>
      <t>)</t>
    </r>
  </si>
  <si>
    <t>#291</t>
  </si>
  <si>
    <t>Story 10-11</t>
  </si>
  <si>
    <r>
      <rPr>
        <b/>
        <sz val="10"/>
        <rFont val="Arial"/>
        <family val="2"/>
      </rPr>
      <t xml:space="preserve">    Story 10-11: llm.js </t>
    </r>
    <r>
      <rPr>
        <b/>
        <sz val="10"/>
        <rFont val="Noto Sans CJK SC"/>
        <family val="2"/>
      </rPr>
      <t xml:space="preserve">피드백 보강 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>서버 저장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문구 톤 통일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프롬프트 버전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가드레일 필터</t>
    </r>
    <r>
      <rPr>
        <b/>
        <sz val="10"/>
        <rFont val="Arial"/>
        <family val="2"/>
      </rPr>
      <t>)</t>
    </r>
  </si>
  <si>
    <t>#139</t>
  </si>
  <si>
    <t>#138</t>
  </si>
  <si>
    <t>Story 5-11</t>
  </si>
  <si>
    <r>
      <rPr>
        <b/>
        <sz val="10"/>
        <rFont val="Arial"/>
        <family val="2"/>
      </rPr>
      <t xml:space="preserve">    Story 5-11: </t>
    </r>
    <r>
      <rPr>
        <b/>
        <sz val="10"/>
        <rFont val="Noto Sans CJK SC"/>
        <family val="2"/>
      </rPr>
      <t>기간 리뷰를 다시 생성해도 참가자가 본 이전 버전이 보존된다</t>
    </r>
  </si>
  <si>
    <t>#273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</si>
  <si>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기간 리뷰를 다시 생성해도 참여자가 본 이전 버전이 남도록 </t>
    </r>
    <r>
      <rPr>
        <sz val="10"/>
        <rFont val="Arial"/>
        <family val="2"/>
      </rPr>
      <t xml:space="preserve">append-only </t>
    </r>
    <r>
      <rPr>
        <sz val="10"/>
        <rFont val="Noto Sans CJK SC"/>
        <family val="2"/>
      </rPr>
      <t>이력 테이블 추가</t>
    </r>
  </si>
  <si>
    <t>#224</t>
  </si>
  <si>
    <t>Story 5-12</t>
  </si>
  <si>
    <r>
      <rPr>
        <b/>
        <sz val="10"/>
        <rFont val="Arial"/>
        <family val="2"/>
      </rPr>
      <t xml:space="preserve">    Story 5-12: </t>
    </r>
    <r>
      <rPr>
        <b/>
        <sz val="10"/>
        <rFont val="Noto Sans CJK SC"/>
        <family val="2"/>
      </rPr>
      <t>시청 맥락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>유입 경로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영상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채널 메타데이터</t>
    </r>
    <r>
      <rPr>
        <b/>
        <sz val="10"/>
        <rFont val="Arial"/>
        <family val="2"/>
      </rPr>
      <t>)</t>
    </r>
    <r>
      <rPr>
        <b/>
        <sz val="10"/>
        <rFont val="Noto Sans CJK SC"/>
        <family val="2"/>
      </rPr>
      <t>을 함께 수집한다</t>
    </r>
  </si>
  <si>
    <t>#292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</si>
  <si>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영상 시청 이벤트에 유입 경로 라벨링 및 자동재생</t>
    </r>
    <r>
      <rPr>
        <sz val="10"/>
        <rFont val="Arial"/>
        <family val="2"/>
      </rPr>
      <t>/</t>
    </r>
    <r>
      <rPr>
        <sz val="10"/>
        <rFont val="Noto Sans CJK SC"/>
        <family val="2"/>
      </rPr>
      <t>클릭 구분 로직 추가</t>
    </r>
  </si>
  <si>
    <t>#178</t>
  </si>
  <si>
    <r>
      <rPr>
        <sz val="10"/>
        <rFont val="Arial"/>
        <family val="2"/>
      </rPr>
      <t xml:space="preserve">        feat:YouTube </t>
    </r>
    <r>
      <rPr>
        <sz val="10"/>
        <rFont val="Noto Sans CJK SC"/>
        <family val="2"/>
      </rPr>
      <t>영상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채널 메타데이터 수집 확장</t>
    </r>
  </si>
  <si>
    <t>#180</t>
  </si>
  <si>
    <t>Epic 6</t>
  </si>
  <si>
    <r>
      <rPr>
        <b/>
        <sz val="10"/>
        <rFont val="Arial"/>
        <family val="2"/>
      </rPr>
      <t xml:space="preserve">Epic 6. </t>
    </r>
    <r>
      <rPr>
        <b/>
        <sz val="10"/>
        <rFont val="Noto Sans CJK SC"/>
        <family val="2"/>
      </rPr>
      <t>본 연구 착수 전 기능 안정화</t>
    </r>
  </si>
  <si>
    <t>#145</t>
  </si>
  <si>
    <t>Story 6-1</t>
  </si>
  <si>
    <r>
      <rPr>
        <b/>
        <sz val="10"/>
        <rFont val="Arial"/>
        <family val="2"/>
      </rPr>
      <t xml:space="preserve">    Story 6-1: </t>
    </r>
    <r>
      <rPr>
        <b/>
        <sz val="10"/>
        <rFont val="Noto Sans CJK SC"/>
        <family val="2"/>
      </rPr>
      <t xml:space="preserve">대조군 참가자가 연구 종료 후 </t>
    </r>
    <r>
      <rPr>
        <b/>
        <sz val="10"/>
        <rFont val="Arial"/>
        <family val="2"/>
      </rPr>
      <t>6</t>
    </r>
    <r>
      <rPr>
        <b/>
        <sz val="10"/>
        <rFont val="Noto Sans CJK SC"/>
        <family val="2"/>
      </rPr>
      <t>주 누적 리뷰를 열람할 수 있다</t>
    </r>
  </si>
  <si>
    <t>#274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</si>
  <si>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대조군 </t>
    </r>
    <r>
      <rPr>
        <sz val="10"/>
        <rFont val="Arial"/>
        <family val="2"/>
      </rPr>
      <t xml:space="preserve">period_reviews </t>
    </r>
    <r>
      <rPr>
        <sz val="10"/>
        <rFont val="Noto Sans CJK SC"/>
        <family val="2"/>
      </rPr>
      <t>사전 생성 활성화</t>
    </r>
  </si>
  <si>
    <t>#146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</si>
  <si>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대조군 </t>
    </r>
    <r>
      <rPr>
        <sz val="10"/>
        <rFont val="Arial"/>
        <family val="2"/>
      </rPr>
      <t>6</t>
    </r>
    <r>
      <rPr>
        <sz val="10"/>
        <rFont val="Noto Sans CJK SC"/>
        <family val="2"/>
      </rPr>
      <t xml:space="preserve">주 리뷰 열람 접근 제어 </t>
    </r>
    <r>
      <rPr>
        <sz val="10"/>
        <rFont val="Arial"/>
        <family val="2"/>
      </rPr>
      <t xml:space="preserve">+ </t>
    </r>
    <r>
      <rPr>
        <sz val="10"/>
        <rFont val="Noto Sans CJK SC"/>
        <family val="2"/>
      </rPr>
      <t>열람 이벤트 로깅</t>
    </r>
  </si>
  <si>
    <t>#147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</si>
  <si>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종료 안내 모달 </t>
    </r>
    <r>
      <rPr>
        <sz val="10"/>
        <rFont val="Arial"/>
        <family val="2"/>
      </rPr>
      <t>+ 6</t>
    </r>
    <r>
      <rPr>
        <sz val="10"/>
        <rFont val="Noto Sans CJK SC"/>
        <family val="2"/>
      </rPr>
      <t>주 누적 리뷰 화면</t>
    </r>
  </si>
  <si>
    <t>#148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</si>
  <si>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연구 완료 코드 기반 리뷰 열람 게이트</t>
    </r>
  </si>
  <si>
    <t>#159</t>
  </si>
  <si>
    <t>Story 6-2</t>
  </si>
  <si>
    <r>
      <rPr>
        <b/>
        <sz val="10"/>
        <rFont val="Arial"/>
        <family val="2"/>
      </rPr>
      <t xml:space="preserve">    Story 6-2: </t>
    </r>
    <r>
      <rPr>
        <b/>
        <sz val="10"/>
        <rFont val="Noto Sans CJK SC"/>
        <family val="2"/>
      </rPr>
      <t>참가자가 재설치해도 참여코드로 상태를 복구할 수 있다</t>
    </r>
  </si>
  <si>
    <t>#275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</si>
  <si>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참여코드 기반 재설치 복구</t>
    </r>
  </si>
  <si>
    <t>#149</t>
  </si>
  <si>
    <r>
      <rPr>
        <sz val="10"/>
        <rFont val="Arial"/>
        <family val="2"/>
      </rPr>
      <t xml:space="preserve">        fix: </t>
    </r>
    <r>
      <rPr>
        <sz val="10"/>
        <rFont val="Noto Sans CJK SC"/>
        <family val="2"/>
      </rPr>
      <t xml:space="preserve">참여자 등록 시 시간대가 없는 </t>
    </r>
    <r>
      <rPr>
        <sz val="10"/>
        <rFont val="Arial"/>
        <family val="2"/>
      </rPr>
      <t>installDate</t>
    </r>
    <r>
      <rPr>
        <sz val="10"/>
        <rFont val="Noto Sans CJK SC"/>
        <family val="2"/>
      </rPr>
      <t xml:space="preserve">를 거부하고 저장 형식을 </t>
    </r>
    <r>
      <rPr>
        <sz val="10"/>
        <rFont val="Arial"/>
        <family val="2"/>
      </rPr>
      <t>UTC ISO</t>
    </r>
    <r>
      <rPr>
        <sz val="10"/>
        <rFont val="Noto Sans CJK SC"/>
        <family val="2"/>
      </rPr>
      <t>로 통일</t>
    </r>
  </si>
  <si>
    <t>#223</t>
  </si>
  <si>
    <t>Story 6-3</t>
  </si>
  <si>
    <r>
      <rPr>
        <b/>
        <sz val="10"/>
        <rFont val="Arial"/>
        <family val="2"/>
      </rPr>
      <t xml:space="preserve">    Story 6-3: </t>
    </r>
    <r>
      <rPr>
        <b/>
        <sz val="10"/>
        <rFont val="Noto Sans CJK SC"/>
        <family val="2"/>
      </rPr>
      <t>참가자가 자정 기준 하루 누적 리뷰를 확인할 수 있다</t>
    </r>
  </si>
  <si>
    <t>#276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</si>
  <si>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세션</t>
    </r>
    <r>
      <rPr>
        <sz val="10"/>
        <rFont val="Arial"/>
        <family val="2"/>
      </rPr>
      <t>-</t>
    </r>
    <r>
      <rPr>
        <sz val="10"/>
        <rFont val="Noto Sans CJK SC"/>
        <family val="2"/>
      </rPr>
      <t>종료 트리거를 오늘 누적 계산으로 통합</t>
    </r>
  </si>
  <si>
    <t>#152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</si>
  <si>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자정 경계 처리 </t>
    </r>
    <r>
      <rPr>
        <sz val="10"/>
        <rFont val="Arial"/>
        <family val="2"/>
      </rPr>
      <t>+ "</t>
    </r>
    <r>
      <rPr>
        <sz val="10"/>
        <rFont val="Noto Sans CJK SC"/>
        <family val="2"/>
      </rPr>
      <t>어제 돌아보기</t>
    </r>
    <r>
      <rPr>
        <sz val="10"/>
        <rFont val="Arial"/>
        <family val="2"/>
      </rPr>
      <t xml:space="preserve">" </t>
    </r>
    <r>
      <rPr>
        <sz val="10"/>
        <rFont val="Noto Sans CJK SC"/>
        <family val="2"/>
      </rPr>
      <t>리빌 애니메이션</t>
    </r>
  </si>
  <si>
    <t>#153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</si>
  <si>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리뷰 카드 헤드라인 문구 스코프별 분기</t>
    </r>
  </si>
  <si>
    <t>#154</t>
  </si>
  <si>
    <r>
      <rPr>
        <sz val="10"/>
        <rFont val="Arial"/>
        <family val="2"/>
      </rPr>
      <t xml:space="preserve">        bug: </t>
    </r>
    <r>
      <rPr>
        <sz val="10"/>
        <rFont val="Noto Sans CJK SC"/>
        <family val="2"/>
      </rPr>
      <t xml:space="preserve">피드백 생성 완료 직후 날짜 이동 시 </t>
    </r>
    <r>
      <rPr>
        <sz val="10"/>
        <rFont val="Arial"/>
        <family val="2"/>
      </rPr>
      <t>"</t>
    </r>
    <r>
      <rPr>
        <sz val="10"/>
        <rFont val="Noto Sans CJK SC"/>
        <family val="2"/>
      </rPr>
      <t>오늘</t>
    </r>
    <r>
      <rPr>
        <sz val="10"/>
        <rFont val="Arial"/>
        <family val="2"/>
      </rPr>
      <t xml:space="preserve">" </t>
    </r>
    <r>
      <rPr>
        <sz val="10"/>
        <rFont val="Noto Sans CJK SC"/>
        <family val="2"/>
      </rPr>
      <t>탭이 갱신되지 않음</t>
    </r>
  </si>
  <si>
    <t>#261</t>
  </si>
  <si>
    <t>Story 6-4</t>
  </si>
  <si>
    <r>
      <rPr>
        <b/>
        <sz val="10"/>
        <rFont val="Arial"/>
        <family val="2"/>
      </rPr>
      <t xml:space="preserve">    Story 6-4: </t>
    </r>
    <r>
      <rPr>
        <b/>
        <sz val="10"/>
        <rFont val="Noto Sans CJK SC"/>
        <family val="2"/>
      </rPr>
      <t>네트워크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인증 오류가 나도 데이터 전송과 참여자 등록이 자동 복구된다</t>
    </r>
  </si>
  <si>
    <t>#277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</si>
  <si>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전송 큐 재시도에 큐 레벨 </t>
    </r>
    <r>
      <rPr>
        <sz val="10"/>
        <rFont val="Arial"/>
        <family val="2"/>
      </rPr>
      <t>fail-fast·</t>
    </r>
    <r>
      <rPr>
        <sz val="10"/>
        <rFont val="Noto Sans CJK SC"/>
        <family val="2"/>
      </rPr>
      <t>재진입 가드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타임아웃 도입</t>
    </r>
  </si>
  <si>
    <t>#193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</si>
  <si>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참여자 등록 게이트를 백그라운드에서 자동 복구하고 </t>
    </r>
    <r>
      <rPr>
        <sz val="10"/>
        <rFont val="Arial"/>
        <family val="2"/>
      </rPr>
      <t xml:space="preserve">403 </t>
    </r>
    <r>
      <rPr>
        <sz val="10"/>
        <rFont val="Noto Sans CJK SC"/>
        <family val="2"/>
      </rPr>
      <t>무효화 경로 추가</t>
    </r>
  </si>
  <si>
    <t>#196</t>
  </si>
  <si>
    <t>Story 6-5</t>
  </si>
  <si>
    <r>
      <rPr>
        <b/>
        <sz val="10"/>
        <rFont val="Arial"/>
        <family val="2"/>
      </rPr>
      <t xml:space="preserve">    Story 6-5: </t>
    </r>
    <r>
      <rPr>
        <b/>
        <sz val="10"/>
        <rFont val="Noto Sans CJK SC"/>
        <family val="2"/>
      </rPr>
      <t>참가자가 오류 발생 시 팝업에서 안내를 볼 수 있다</t>
    </r>
  </si>
  <si>
    <t>#278</t>
  </si>
  <si>
    <t>Epic 7</t>
  </si>
  <si>
    <r>
      <rPr>
        <b/>
        <sz val="10"/>
        <rFont val="Arial"/>
        <family val="2"/>
      </rPr>
      <t xml:space="preserve">Epic 7. </t>
    </r>
    <r>
      <rPr>
        <b/>
        <sz val="10"/>
        <rFont val="Noto Sans CJK SC"/>
        <family val="2"/>
      </rPr>
      <t>관측 체계 구축 및 운영</t>
    </r>
  </si>
  <si>
    <t>#202</t>
  </si>
  <si>
    <t>Story 7-1</t>
  </si>
  <si>
    <r>
      <rPr>
        <b/>
        <sz val="10"/>
        <rFont val="Arial"/>
        <family val="2"/>
      </rPr>
      <t xml:space="preserve">    Story 7-1: </t>
    </r>
    <r>
      <rPr>
        <b/>
        <sz val="10"/>
        <rFont val="Noto Sans CJK SC"/>
        <family val="2"/>
      </rPr>
      <t>운영자가 서버</t>
    </r>
    <r>
      <rPr>
        <b/>
        <sz val="10"/>
        <rFont val="Arial"/>
        <family val="2"/>
      </rPr>
      <t>·cron·</t>
    </r>
    <r>
      <rPr>
        <b/>
        <sz val="10"/>
        <rFont val="Noto Sans CJK SC"/>
        <family val="2"/>
      </rPr>
      <t>결측 이상을 즉시 알림으로 받을 수 있다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>최소 관제 체계</t>
    </r>
    <r>
      <rPr>
        <b/>
        <sz val="10"/>
        <rFont val="Arial"/>
        <family val="2"/>
      </rPr>
      <t xml:space="preserve">(MVM) </t>
    </r>
    <r>
      <rPr>
        <b/>
        <sz val="10"/>
        <rFont val="Noto Sans CJK SC"/>
        <family val="2"/>
      </rPr>
      <t>구축</t>
    </r>
    <r>
      <rPr>
        <b/>
        <sz val="10"/>
        <rFont val="Arial"/>
        <family val="2"/>
      </rPr>
      <t>)</t>
    </r>
  </si>
  <si>
    <t>#172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</si>
  <si>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접근 로그에 실제 </t>
    </r>
    <r>
      <rPr>
        <sz val="10"/>
        <rFont val="Arial"/>
        <family val="2"/>
      </rPr>
      <t xml:space="preserve">API </t>
    </r>
    <r>
      <rPr>
        <sz val="10"/>
        <rFont val="Noto Sans CJK SC"/>
        <family val="2"/>
      </rPr>
      <t xml:space="preserve">경로 기록 및 </t>
    </r>
    <r>
      <rPr>
        <sz val="10"/>
        <rFont val="Arial"/>
        <family val="2"/>
      </rPr>
      <t xml:space="preserve">error-monitor </t>
    </r>
    <r>
      <rPr>
        <sz val="10"/>
        <rFont val="Noto Sans CJK SC"/>
        <family val="2"/>
      </rPr>
      <t xml:space="preserve">알림을 </t>
    </r>
    <r>
      <rPr>
        <sz val="10"/>
        <rFont val="Arial"/>
        <family val="2"/>
      </rPr>
      <t>/api/* 4xx</t>
    </r>
    <r>
      <rPr>
        <sz val="10"/>
        <rFont val="Noto Sans CJK SC"/>
        <family val="2"/>
      </rPr>
      <t>로 한정</t>
    </r>
  </si>
  <si>
    <t>#192</t>
  </si>
  <si>
    <r>
      <rPr>
        <sz val="10"/>
        <rFont val="Arial"/>
        <family val="2"/>
      </rPr>
      <t xml:space="preserve">        feat: Datadog Monitor</t>
    </r>
    <r>
      <rPr>
        <sz val="10"/>
        <rFont val="Noto Sans CJK SC"/>
        <family val="2"/>
      </rPr>
      <t xml:space="preserve">로 세션 </t>
    </r>
    <r>
      <rPr>
        <sz val="10"/>
        <rFont val="Arial"/>
        <family val="2"/>
      </rPr>
      <t xml:space="preserve">API </t>
    </r>
    <r>
      <rPr>
        <sz val="10"/>
        <rFont val="Noto Sans CJK SC"/>
        <family val="2"/>
      </rPr>
      <t>지연</t>
    </r>
    <r>
      <rPr>
        <sz val="10"/>
        <rFont val="Arial"/>
        <family val="2"/>
      </rPr>
      <t xml:space="preserve">·Agent </t>
    </r>
    <r>
      <rPr>
        <sz val="10"/>
        <rFont val="Noto Sans CJK SC"/>
        <family val="2"/>
      </rPr>
      <t>무응답 알림 추가</t>
    </r>
  </si>
  <si>
    <t>#204</t>
  </si>
  <si>
    <r>
      <rPr>
        <sz val="10"/>
        <rFont val="Arial"/>
        <family val="2"/>
      </rPr>
      <t xml:space="preserve">        feat: LLM fallback </t>
    </r>
    <r>
      <rPr>
        <sz val="10"/>
        <rFont val="Noto Sans CJK SC"/>
        <family val="2"/>
      </rPr>
      <t>비율</t>
    </r>
    <r>
      <rPr>
        <sz val="10"/>
        <rFont val="Arial"/>
        <family val="2"/>
      </rPr>
      <t xml:space="preserve">·Gemini </t>
    </r>
    <r>
      <rPr>
        <sz val="10"/>
        <rFont val="Noto Sans CJK SC"/>
        <family val="2"/>
      </rPr>
      <t xml:space="preserve">응답 시간을 </t>
    </r>
    <r>
      <rPr>
        <sz val="10"/>
        <rFont val="Arial"/>
        <family val="2"/>
      </rPr>
      <t xml:space="preserve">Datadog </t>
    </r>
    <r>
      <rPr>
        <sz val="10"/>
        <rFont val="Noto Sans CJK SC"/>
        <family val="2"/>
      </rPr>
      <t>커스텀 메트릭으로 추세 감시</t>
    </r>
  </si>
  <si>
    <t>#205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</si>
  <si>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참가자별 결측 감지 </t>
    </r>
    <r>
      <rPr>
        <sz val="10"/>
        <rFont val="Arial"/>
        <family val="2"/>
      </rPr>
      <t xml:space="preserve">cron </t>
    </r>
    <r>
      <rPr>
        <sz val="10"/>
        <rFont val="Noto Sans CJK SC"/>
        <family val="2"/>
      </rPr>
      <t>가동과 결측 의심 시 인원수 알림</t>
    </r>
  </si>
  <si>
    <t>#206</t>
  </si>
  <si>
    <t>Story 7-2</t>
  </si>
  <si>
    <r>
      <rPr>
        <b/>
        <sz val="10"/>
        <rFont val="Arial"/>
        <family val="2"/>
      </rPr>
      <t xml:space="preserve">    Story 7-2: </t>
    </r>
    <r>
      <rPr>
        <b/>
        <sz val="10"/>
        <rFont val="Noto Sans CJK SC"/>
        <family val="2"/>
      </rPr>
      <t>운영자가 오류 원인을 로그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트레이스로 추적할 수 있다</t>
    </r>
  </si>
  <si>
    <t>#279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</si>
  <si>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확장 프로그램 오류를 연구 서버로 원격 수집</t>
    </r>
  </si>
  <si>
    <t>#203</t>
  </si>
  <si>
    <r>
      <rPr>
        <sz val="10"/>
        <rFont val="Arial"/>
        <family val="2"/>
      </rPr>
      <t xml:space="preserve">        feat: Datadog</t>
    </r>
    <r>
      <rPr>
        <sz val="10"/>
        <rFont val="Noto Sans CJK SC"/>
        <family val="2"/>
      </rPr>
      <t xml:space="preserve">에서 가명 사용자 </t>
    </r>
    <r>
      <rPr>
        <sz val="10"/>
        <rFont val="Arial"/>
        <family val="2"/>
      </rPr>
      <t>ID(anonymousId)</t>
    </r>
    <r>
      <rPr>
        <sz val="10"/>
        <rFont val="Noto Sans CJK SC"/>
        <family val="2"/>
      </rPr>
      <t>로 로그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 xml:space="preserve">요청을 조회할 수 있게 </t>
    </r>
    <r>
      <rPr>
        <sz val="10"/>
        <rFont val="Arial"/>
        <family val="2"/>
      </rPr>
      <t xml:space="preserve">UUID </t>
    </r>
    <r>
      <rPr>
        <sz val="10"/>
        <rFont val="Noto Sans CJK SC"/>
        <family val="2"/>
      </rPr>
      <t>마스킹 해제</t>
    </r>
  </si>
  <si>
    <t>#225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</si>
  <si>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서버 예외의 스택 트레이스를 확인할 수 있게 하기</t>
    </r>
  </si>
  <si>
    <t>#226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</si>
  <si>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 xml:space="preserve">서버 로그 줄에 </t>
    </r>
    <r>
      <rPr>
        <sz val="10"/>
        <rFont val="Arial"/>
        <family val="2"/>
      </rPr>
      <t>trace ID</t>
    </r>
    <r>
      <rPr>
        <sz val="10"/>
        <rFont val="Noto Sans CJK SC"/>
        <family val="2"/>
      </rPr>
      <t xml:space="preserve">를 넣어 </t>
    </r>
    <r>
      <rPr>
        <sz val="10"/>
        <rFont val="Arial"/>
        <family val="2"/>
      </rPr>
      <t>Datadog Logs</t>
    </r>
    <r>
      <rPr>
        <sz val="10"/>
        <rFont val="Noto Sans CJK SC"/>
        <family val="2"/>
      </rPr>
      <t xml:space="preserve">와 </t>
    </r>
    <r>
      <rPr>
        <sz val="10"/>
        <rFont val="Arial"/>
        <family val="2"/>
      </rPr>
      <t>APM trace</t>
    </r>
    <r>
      <rPr>
        <sz val="10"/>
        <rFont val="Noto Sans CJK SC"/>
        <family val="2"/>
      </rPr>
      <t>를 연결</t>
    </r>
  </si>
  <si>
    <t>#227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</si>
  <si>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지문</t>
    </r>
    <r>
      <rPr>
        <sz val="10"/>
        <rFont val="Arial"/>
        <family val="2"/>
      </rPr>
      <t>·anonymousId·</t>
    </r>
    <r>
      <rPr>
        <sz val="10"/>
        <rFont val="Noto Sans CJK SC"/>
        <family val="2"/>
      </rPr>
      <t>참여 코드로 참여자 상태를 조회하는 읽기 전용 스크립트</t>
    </r>
  </si>
  <si>
    <t>#228</t>
  </si>
  <si>
    <r>
      <rPr>
        <sz val="10"/>
        <rFont val="Arial"/>
        <family val="2"/>
      </rPr>
      <t xml:space="preserve">        chore: Datadog Agent </t>
    </r>
    <r>
      <rPr>
        <sz val="10"/>
        <rFont val="Noto Sans CJK SC"/>
        <family val="2"/>
      </rPr>
      <t xml:space="preserve">설치 및 </t>
    </r>
    <r>
      <rPr>
        <sz val="10"/>
        <rFont val="Arial"/>
        <family val="2"/>
      </rPr>
      <t xml:space="preserve">Log Management </t>
    </r>
    <r>
      <rPr>
        <sz val="10"/>
        <rFont val="Noto Sans CJK SC"/>
        <family val="2"/>
      </rPr>
      <t>연동</t>
    </r>
  </si>
  <si>
    <t>#267</t>
  </si>
  <si>
    <r>
      <rPr>
        <sz val="10"/>
        <rFont val="Arial"/>
        <family val="2"/>
      </rPr>
      <t xml:space="preserve">        feat: Datadog APM(dd-trace) </t>
    </r>
    <r>
      <rPr>
        <sz val="10"/>
        <rFont val="Noto Sans CJK SC"/>
        <family val="2"/>
      </rPr>
      <t>계측 도입</t>
    </r>
  </si>
  <si>
    <t>#268</t>
  </si>
  <si>
    <r>
      <rPr>
        <sz val="10"/>
        <rFont val="Arial"/>
        <family val="2"/>
      </rPr>
      <t xml:space="preserve">    fix: </t>
    </r>
    <r>
      <rPr>
        <sz val="10"/>
        <rFont val="Noto Sans CJK SC"/>
        <family val="2"/>
      </rPr>
      <t xml:space="preserve">본문 필드가 문자열이 아닐 때 서버가 </t>
    </r>
    <r>
      <rPr>
        <sz val="10"/>
        <rFont val="Arial"/>
        <family val="2"/>
      </rPr>
      <t>500</t>
    </r>
    <r>
      <rPr>
        <sz val="10"/>
        <rFont val="Noto Sans CJK SC"/>
        <family val="2"/>
      </rPr>
      <t>을 반환하는 문제</t>
    </r>
  </si>
  <si>
    <t>#232</t>
  </si>
  <si>
    <t>Epic 8</t>
  </si>
  <si>
    <r>
      <rPr>
        <b/>
        <sz val="10"/>
        <rFont val="Arial"/>
        <family val="2"/>
      </rPr>
      <t xml:space="preserve">Epic 8. </t>
    </r>
    <r>
      <rPr>
        <b/>
        <sz val="10"/>
        <rFont val="Noto Sans CJK SC"/>
        <family val="2"/>
      </rPr>
      <t xml:space="preserve">본 연구 착수 전 </t>
    </r>
    <r>
      <rPr>
        <b/>
        <sz val="10"/>
        <rFont val="Arial"/>
        <family val="2"/>
      </rPr>
      <t xml:space="preserve">IRB </t>
    </r>
    <r>
      <rPr>
        <b/>
        <sz val="10"/>
        <rFont val="Noto Sans CJK SC"/>
        <family val="2"/>
      </rPr>
      <t>정합성 확보 및 시스템 정비</t>
    </r>
  </si>
  <si>
    <t>#207</t>
  </si>
  <si>
    <t>Story 8-1</t>
  </si>
  <si>
    <r>
      <rPr>
        <b/>
        <sz val="10"/>
        <rFont val="Arial"/>
        <family val="2"/>
      </rPr>
      <t xml:space="preserve">    Story 8-1: </t>
    </r>
    <r>
      <rPr>
        <b/>
        <sz val="10"/>
        <rFont val="Noto Sans CJK SC"/>
        <family val="2"/>
      </rPr>
      <t>연구 기간이 끝나면 수집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전송이 자동으로 멈추고 참가자에게 안내된다</t>
    </r>
  </si>
  <si>
    <t>#280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</si>
  <si>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연구 종료 후 수집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 xml:space="preserve">생성 중단 </t>
    </r>
    <r>
      <rPr>
        <sz val="10"/>
        <rFont val="Arial"/>
        <family val="2"/>
      </rPr>
      <t>+ "</t>
    </r>
    <r>
      <rPr>
        <sz val="10"/>
        <rFont val="Noto Sans CJK SC"/>
        <family val="2"/>
      </rPr>
      <t>오늘</t>
    </r>
    <r>
      <rPr>
        <sz val="10"/>
        <rFont val="Arial"/>
        <family val="2"/>
      </rPr>
      <t xml:space="preserve">" </t>
    </r>
    <r>
      <rPr>
        <sz val="10"/>
        <rFont val="Noto Sans CJK SC"/>
        <family val="2"/>
      </rPr>
      <t>탭 마지막 날짜 고정</t>
    </r>
  </si>
  <si>
    <t>#160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</si>
  <si>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연구 기간 종료 시 확장 프로그램 수집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전송 자동 중단 및 제거 안내</t>
    </r>
  </si>
  <si>
    <t>#197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</si>
  <si>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연구 기간에 따라 달라지는 문구를 상수에서 생성하고 기간 상수 일치를 테스트로 고정</t>
    </r>
  </si>
  <si>
    <t>#210</t>
  </si>
  <si>
    <t>Story 8-2</t>
  </si>
  <si>
    <r>
      <rPr>
        <b/>
        <sz val="10"/>
        <rFont val="Arial"/>
        <family val="2"/>
      </rPr>
      <t xml:space="preserve">    Story 8-2: </t>
    </r>
    <r>
      <rPr>
        <b/>
        <sz val="10"/>
        <rFont val="Noto Sans CJK SC"/>
        <family val="2"/>
      </rPr>
      <t>참가자에게 집단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>실험</t>
    </r>
    <r>
      <rPr>
        <b/>
        <sz val="10"/>
        <rFont val="Arial"/>
        <family val="2"/>
      </rPr>
      <t>/</t>
    </r>
    <r>
      <rPr>
        <b/>
        <sz val="10"/>
        <rFont val="Noto Sans CJK SC"/>
        <family val="2"/>
      </rPr>
      <t>대조</t>
    </r>
    <r>
      <rPr>
        <b/>
        <sz val="10"/>
        <rFont val="Arial"/>
        <family val="2"/>
      </rPr>
      <t xml:space="preserve">) </t>
    </r>
    <r>
      <rPr>
        <b/>
        <sz val="10"/>
        <rFont val="Noto Sans CJK SC"/>
        <family val="2"/>
      </rPr>
      <t>정보가 노출되지 않는다</t>
    </r>
  </si>
  <si>
    <t>#281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</si>
  <si>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참여코드에서 집단 표식 제거</t>
    </r>
  </si>
  <si>
    <t>#209</t>
  </si>
  <si>
    <t>Story 8-3</t>
  </si>
  <si>
    <r>
      <rPr>
        <b/>
        <sz val="10"/>
        <rFont val="Arial"/>
        <family val="2"/>
      </rPr>
      <t xml:space="preserve">    Story 8-3: </t>
    </r>
    <r>
      <rPr>
        <b/>
        <sz val="10"/>
        <rFont val="Noto Sans CJK SC"/>
        <family val="2"/>
      </rPr>
      <t>화면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피드백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분석의 시청 집계 기준을 유효 시청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시청 시간으로 통일한다</t>
    </r>
  </si>
  <si>
    <t>#218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</si>
  <si>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기간별 리뷰 첫 줄에 분야별 비중과 지난 구간 대비 변화를 사실 문장으로 추가</t>
    </r>
  </si>
  <si>
    <t>#211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</si>
  <si>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팝업 화면 숫자를 서버 집계 기준으로 통일하고 기간별 탭을 분야별 시청 시간 꺾은선으로 교체</t>
    </r>
  </si>
  <si>
    <t>#217</t>
  </si>
  <si>
    <r>
      <rPr>
        <sz val="10"/>
        <rFont val="Arial"/>
        <family val="2"/>
      </rPr>
      <t xml:space="preserve">        docs: </t>
    </r>
    <r>
      <rPr>
        <sz val="10"/>
        <rFont val="Noto Sans CJK SC"/>
        <family val="2"/>
      </rPr>
      <t>시청 집계 기준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화면 지표 결정을 기록하고 사전등록 문서에 반영</t>
    </r>
  </si>
  <si>
    <t>#253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</si>
  <si>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오늘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기간 집계를 원본 영상 데이터에서 유효 시청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시청 시간 기준으로 계산</t>
    </r>
  </si>
  <si>
    <t>#254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</si>
  <si>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오늘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 xml:space="preserve">기간 리뷰의 </t>
    </r>
    <r>
      <rPr>
        <sz val="10"/>
        <rFont val="Arial"/>
        <family val="2"/>
      </rPr>
      <t xml:space="preserve">LLM </t>
    </r>
    <r>
      <rPr>
        <sz val="10"/>
        <rFont val="Noto Sans CJK SC"/>
        <family val="2"/>
      </rPr>
      <t>입력과 대체 문구를 유효 시청 기준으로 정렬</t>
    </r>
  </si>
  <si>
    <t>#255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</si>
  <si>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오늘 리뷰를 유효 영상이 늘었을 때만 최소 간격을 두고 생성</t>
    </r>
  </si>
  <si>
    <t>#256</t>
  </si>
  <si>
    <r>
      <rPr>
        <sz val="10"/>
        <rFont val="Arial"/>
        <family val="2"/>
      </rPr>
      <t xml:space="preserve">        feat: </t>
    </r>
    <r>
      <rPr>
        <sz val="10"/>
        <rFont val="Noto Sans CJK SC"/>
        <family val="2"/>
      </rPr>
      <t>기간별 리뷰 카테고리 분포 카드</t>
    </r>
  </si>
  <si>
    <t>#262</t>
  </si>
  <si>
    <t>Story 8-4</t>
  </si>
  <si>
    <r>
      <rPr>
        <b/>
        <sz val="10"/>
        <rFont val="Arial"/>
        <family val="2"/>
      </rPr>
      <t xml:space="preserve">    Story 8-4: IRB </t>
    </r>
    <r>
      <rPr>
        <b/>
        <sz val="10"/>
        <rFont val="Noto Sans CJK SC"/>
        <family val="2"/>
      </rPr>
      <t>변경심의를 신청하고 승인받는다</t>
    </r>
  </si>
  <si>
    <t>#282</t>
  </si>
  <si>
    <r>
      <rPr>
        <sz val="10"/>
        <rFont val="Arial"/>
        <family val="2"/>
      </rPr>
      <t xml:space="preserve">        docs: IRB </t>
    </r>
    <r>
      <rPr>
        <sz val="10"/>
        <rFont val="Noto Sans CJK SC"/>
        <family val="2"/>
      </rPr>
      <t>변경심의 신청</t>
    </r>
  </si>
  <si>
    <t>#213</t>
  </si>
  <si>
    <t>Epic 9</t>
  </si>
  <si>
    <r>
      <rPr>
        <b/>
        <sz val="10"/>
        <rFont val="Arial"/>
        <family val="2"/>
      </rPr>
      <t xml:space="preserve">Epic 9. </t>
    </r>
    <r>
      <rPr>
        <b/>
        <sz val="10"/>
        <rFont val="Noto Sans CJK SC"/>
        <family val="2"/>
      </rPr>
      <t>테스트 및 품질 보강</t>
    </r>
  </si>
  <si>
    <t>#208</t>
  </si>
  <si>
    <t>Story 9-1</t>
  </si>
  <si>
    <r>
      <rPr>
        <b/>
        <sz val="10"/>
        <rFont val="Arial"/>
        <family val="2"/>
      </rPr>
      <t xml:space="preserve">    Story 9-1: </t>
    </r>
    <r>
      <rPr>
        <b/>
        <sz val="10"/>
        <rFont val="Noto Sans CJK SC"/>
        <family val="2"/>
      </rPr>
      <t>위험 기반 테스트로 연구 데이터 오염 위험을 제거한다</t>
    </r>
  </si>
  <si>
    <t>#283</t>
  </si>
  <si>
    <r>
      <rPr>
        <sz val="10"/>
        <rFont val="Arial"/>
        <family val="2"/>
      </rPr>
      <t xml:space="preserve">        test: </t>
    </r>
    <r>
      <rPr>
        <sz val="10"/>
        <rFont val="Noto Sans CJK SC"/>
        <family val="2"/>
      </rPr>
      <t>위험 기반 테스트 보강 및 커버리지 측정 도입</t>
    </r>
  </si>
  <si>
    <t>#165</t>
  </si>
  <si>
    <r>
      <rPr>
        <sz val="10"/>
        <rFont val="Arial"/>
        <family val="2"/>
      </rPr>
      <t xml:space="preserve">        test: </t>
    </r>
    <r>
      <rPr>
        <sz val="10"/>
        <rFont val="Noto Sans CJK SC"/>
        <family val="2"/>
      </rPr>
      <t xml:space="preserve">위험 기반 테스트 </t>
    </r>
    <r>
      <rPr>
        <sz val="10"/>
        <rFont val="Arial"/>
        <family val="2"/>
      </rPr>
      <t>4</t>
    </r>
    <r>
      <rPr>
        <sz val="10"/>
        <rFont val="Noto Sans CJK SC"/>
        <family val="2"/>
      </rPr>
      <t>개 항목 구현 및 리팩터링</t>
    </r>
  </si>
  <si>
    <t>#167</t>
  </si>
  <si>
    <r>
      <rPr>
        <sz val="10"/>
        <rFont val="Arial"/>
        <family val="2"/>
      </rPr>
      <t xml:space="preserve">        test: </t>
    </r>
    <r>
      <rPr>
        <sz val="10"/>
        <rFont val="Noto Sans CJK SC"/>
        <family val="2"/>
      </rPr>
      <t>테스트 공백 보완 및 진행 기록</t>
    </r>
  </si>
  <si>
    <t>#169</t>
  </si>
  <si>
    <t>Story 9-2</t>
  </si>
  <si>
    <r>
      <rPr>
        <b/>
        <sz val="10"/>
        <rFont val="Arial"/>
        <family val="2"/>
      </rPr>
      <t xml:space="preserve">    Story 9-2: </t>
    </r>
    <r>
      <rPr>
        <b/>
        <sz val="10"/>
        <rFont val="Noto Sans CJK SC"/>
        <family val="2"/>
      </rPr>
      <t xml:space="preserve">핵심 </t>
    </r>
    <r>
      <rPr>
        <b/>
        <sz val="10"/>
        <rFont val="Arial"/>
        <family val="2"/>
      </rPr>
      <t xml:space="preserve">API </t>
    </r>
    <r>
      <rPr>
        <b/>
        <sz val="10"/>
        <rFont val="Noto Sans CJK SC"/>
        <family val="2"/>
      </rPr>
      <t>경로가 실제 라우터 기준 통합 테스트로 보호된다</t>
    </r>
  </si>
  <si>
    <t>#285</t>
  </si>
  <si>
    <r>
      <rPr>
        <sz val="10"/>
        <rFont val="Arial"/>
        <family val="2"/>
      </rPr>
      <t xml:space="preserve">        test: </t>
    </r>
    <r>
      <rPr>
        <sz val="10"/>
        <rFont val="Noto Sans CJK SC"/>
        <family val="2"/>
      </rPr>
      <t xml:space="preserve">종료 게이트 </t>
    </r>
    <r>
      <rPr>
        <sz val="10"/>
        <rFont val="Arial"/>
        <family val="2"/>
      </rPr>
      <t xml:space="preserve">API </t>
    </r>
    <r>
      <rPr>
        <sz val="10"/>
        <rFont val="Noto Sans CJK SC"/>
        <family val="2"/>
      </rPr>
      <t>실제 라우터 배선 테스트</t>
    </r>
  </si>
  <si>
    <t>#234</t>
  </si>
  <si>
    <r>
      <rPr>
        <sz val="10"/>
        <rFont val="Arial"/>
        <family val="2"/>
      </rPr>
      <t xml:space="preserve">        test: CORS </t>
    </r>
    <r>
      <rPr>
        <sz val="10"/>
        <rFont val="Noto Sans CJK SC"/>
        <family val="2"/>
      </rPr>
      <t>허용 출처 규칙 회귀 테스트</t>
    </r>
  </si>
  <si>
    <t>#235</t>
  </si>
  <si>
    <r>
      <rPr>
        <sz val="10"/>
        <rFont val="Arial"/>
        <family val="2"/>
      </rPr>
      <t xml:space="preserve">        test: cron </t>
    </r>
    <r>
      <rPr>
        <sz val="10"/>
        <rFont val="Noto Sans CJK SC"/>
        <family val="2"/>
      </rPr>
      <t>스크립트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백업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모니터링</t>
    </r>
    <r>
      <rPr>
        <sz val="10"/>
        <rFont val="Arial"/>
        <family val="2"/>
      </rPr>
      <t xml:space="preserve">) </t>
    </r>
    <r>
      <rPr>
        <sz val="10"/>
        <rFont val="Noto Sans CJK SC"/>
        <family val="2"/>
      </rPr>
      <t>테스트 가능 구조 및 테스트</t>
    </r>
  </si>
  <si>
    <t>#236</t>
  </si>
  <si>
    <r>
      <rPr>
        <sz val="10"/>
        <rFont val="Arial"/>
        <family val="2"/>
      </rPr>
      <t xml:space="preserve">        test: </t>
    </r>
    <r>
      <rPr>
        <sz val="10"/>
        <rFont val="Noto Sans CJK SC"/>
        <family val="2"/>
      </rPr>
      <t>연구 종료 게이트 통합 테스트를 실제 라우터로 전환</t>
    </r>
  </si>
  <si>
    <t>#240</t>
  </si>
  <si>
    <t>Story 9-3</t>
  </si>
  <si>
    <r>
      <rPr>
        <b/>
        <sz val="10"/>
        <rFont val="Arial"/>
        <family val="2"/>
      </rPr>
      <t xml:space="preserve">    Story 9-3: </t>
    </r>
    <r>
      <rPr>
        <b/>
        <sz val="10"/>
        <rFont val="Noto Sans CJK SC"/>
        <family val="2"/>
      </rPr>
      <t>커버리지를 정확히 측정하고 목표치를 유지한다</t>
    </r>
  </si>
  <si>
    <t>#286</t>
  </si>
  <si>
    <r>
      <rPr>
        <sz val="10"/>
        <rFont val="Arial"/>
        <family val="2"/>
      </rPr>
      <t xml:space="preserve">        test: </t>
    </r>
    <r>
      <rPr>
        <sz val="10"/>
        <rFont val="Noto Sans CJK SC"/>
        <family val="2"/>
      </rPr>
      <t xml:space="preserve">커버리지 측정 보정 및 </t>
    </r>
    <r>
      <rPr>
        <sz val="10"/>
        <rFont val="Arial"/>
        <family val="2"/>
      </rPr>
      <t xml:space="preserve">CI </t>
    </r>
    <r>
      <rPr>
        <sz val="10"/>
        <rFont val="Noto Sans CJK SC"/>
        <family val="2"/>
      </rPr>
      <t>정비</t>
    </r>
  </si>
  <si>
    <t>#233</t>
  </si>
  <si>
    <r>
      <rPr>
        <sz val="10"/>
        <rFont val="Arial"/>
        <family val="2"/>
      </rPr>
      <t xml:space="preserve">        test: content.js</t>
    </r>
    <r>
      <rPr>
        <sz val="10"/>
        <rFont val="Noto Sans CJK SC"/>
        <family val="2"/>
      </rPr>
      <t xml:space="preserve">를 커버리지로 측정되게 하고 </t>
    </r>
    <r>
      <rPr>
        <sz val="10"/>
        <rFont val="Arial"/>
        <family val="2"/>
      </rPr>
      <t xml:space="preserve">80% </t>
    </r>
    <r>
      <rPr>
        <sz val="10"/>
        <rFont val="Noto Sans CJK SC"/>
        <family val="2"/>
      </rPr>
      <t>이상으로 보강</t>
    </r>
  </si>
  <si>
    <t>#266</t>
  </si>
  <si>
    <t>#259</t>
  </si>
  <si>
    <r>
      <rPr>
        <sz val="10"/>
        <rFont val="Arial"/>
        <family val="2"/>
      </rPr>
      <t xml:space="preserve">        test: </t>
    </r>
    <r>
      <rPr>
        <sz val="10"/>
        <rFont val="Noto Sans CJK SC"/>
        <family val="2"/>
      </rPr>
      <t>팝업 파일을 커버리지로 측정되게 전환</t>
    </r>
  </si>
  <si>
    <t>#284</t>
  </si>
  <si>
    <t>#265</t>
  </si>
  <si>
    <t>Story 9-4</t>
  </si>
  <si>
    <r>
      <rPr>
        <b/>
        <sz val="10"/>
        <rFont val="Arial"/>
        <family val="2"/>
      </rPr>
      <t xml:space="preserve">    Story 9-4: </t>
    </r>
    <r>
      <rPr>
        <b/>
        <sz val="10"/>
        <rFont val="Noto Sans CJK SC"/>
        <family val="2"/>
      </rPr>
      <t>코드 형식</t>
    </r>
    <r>
      <rPr>
        <b/>
        <sz val="10"/>
        <rFont val="Arial"/>
        <family val="2"/>
      </rPr>
      <t>·</t>
    </r>
    <r>
      <rPr>
        <b/>
        <sz val="10"/>
        <rFont val="Noto Sans CJK SC"/>
        <family val="2"/>
      </rPr>
      <t>정적 분석</t>
    </r>
    <r>
      <rPr>
        <b/>
        <sz val="10"/>
        <rFont val="Arial"/>
        <family val="2"/>
      </rPr>
      <t>·CI</t>
    </r>
    <r>
      <rPr>
        <b/>
        <sz val="10"/>
        <rFont val="Noto Sans CJK SC"/>
        <family val="2"/>
      </rPr>
      <t>가 자동으로 관리된다</t>
    </r>
  </si>
  <si>
    <t>#287</t>
  </si>
  <si>
    <r>
      <rPr>
        <sz val="10"/>
        <rFont val="Arial"/>
        <family val="2"/>
      </rPr>
      <t xml:space="preserve">        test: ESLint </t>
    </r>
    <r>
      <rPr>
        <sz val="10"/>
        <rFont val="Noto Sans CJK SC"/>
        <family val="2"/>
      </rPr>
      <t>설정 복구 및 핵심 로직</t>
    </r>
    <r>
      <rPr>
        <sz val="10"/>
        <rFont val="Arial"/>
        <family val="2"/>
      </rPr>
      <t xml:space="preserve">(analysis/llm) </t>
    </r>
    <r>
      <rPr>
        <sz val="10"/>
        <rFont val="Noto Sans CJK SC"/>
        <family val="2"/>
      </rPr>
      <t>단위 테스트 도입</t>
    </r>
  </si>
  <si>
    <t>#135</t>
  </si>
  <si>
    <t>#134</t>
  </si>
  <si>
    <r>
      <rPr>
        <sz val="10"/>
        <rFont val="Arial"/>
        <family val="2"/>
      </rPr>
      <t xml:space="preserve">        chore: prettier </t>
    </r>
    <r>
      <rPr>
        <sz val="10"/>
        <rFont val="Noto Sans CJK SC"/>
        <family val="2"/>
      </rPr>
      <t xml:space="preserve">형식 일괄 정리 및 </t>
    </r>
    <r>
      <rPr>
        <sz val="10"/>
        <rFont val="Arial"/>
        <family val="2"/>
      </rPr>
      <t xml:space="preserve">CI </t>
    </r>
    <r>
      <rPr>
        <sz val="10"/>
        <rFont val="Noto Sans CJK SC"/>
        <family val="2"/>
      </rPr>
      <t>형식 검사 추가</t>
    </r>
  </si>
  <si>
    <t>#241</t>
  </si>
  <si>
    <r>
      <rPr>
        <sz val="10"/>
        <rFont val="Arial"/>
        <family val="2"/>
      </rPr>
      <t xml:space="preserve">        chore: CI action</t>
    </r>
    <r>
      <rPr>
        <sz val="10"/>
        <rFont val="Noto Sans CJK SC"/>
        <family val="2"/>
      </rPr>
      <t xml:space="preserve">을 </t>
    </r>
    <r>
      <rPr>
        <sz val="10"/>
        <rFont val="Arial"/>
        <family val="2"/>
      </rPr>
      <t xml:space="preserve">Node 24 </t>
    </r>
    <r>
      <rPr>
        <sz val="10"/>
        <rFont val="Noto Sans CJK SC"/>
        <family val="2"/>
      </rPr>
      <t xml:space="preserve">지원 버전으로 올리고 </t>
    </r>
    <r>
      <rPr>
        <sz val="10"/>
        <rFont val="Arial"/>
        <family val="2"/>
      </rPr>
      <t>Dependabot</t>
    </r>
    <r>
      <rPr>
        <sz val="10"/>
        <rFont val="Noto Sans CJK SC"/>
        <family val="2"/>
      </rPr>
      <t>으로 버전 업데이트 자동화</t>
    </r>
  </si>
  <si>
    <t>#244</t>
  </si>
  <si>
    <r>
      <rPr>
        <sz val="10"/>
        <rFont val="Arial"/>
        <family val="2"/>
      </rPr>
      <t xml:space="preserve">        chore: SonarQube </t>
    </r>
    <r>
      <rPr>
        <sz val="10"/>
        <rFont val="Noto Sans CJK SC"/>
        <family val="2"/>
      </rPr>
      <t>코드 품질 측정 도입</t>
    </r>
  </si>
  <si>
    <t>#288</t>
  </si>
  <si>
    <t>Story 9-5</t>
  </si>
  <si>
    <r>
      <rPr>
        <b/>
        <sz val="10"/>
        <rFont val="Arial"/>
        <family val="2"/>
      </rPr>
      <t xml:space="preserve">    Story 9-5: </t>
    </r>
    <r>
      <rPr>
        <b/>
        <sz val="10"/>
        <rFont val="Noto Sans CJK SC"/>
        <family val="2"/>
      </rPr>
      <t>본 연구 규모</t>
    </r>
    <r>
      <rPr>
        <b/>
        <sz val="10"/>
        <rFont val="Arial"/>
        <family val="2"/>
      </rPr>
      <t>(</t>
    </r>
    <r>
      <rPr>
        <b/>
        <sz val="10"/>
        <rFont val="Noto Sans CJK SC"/>
        <family val="2"/>
      </rPr>
      <t xml:space="preserve">참가자 약 </t>
    </r>
    <r>
      <rPr>
        <b/>
        <sz val="10"/>
        <rFont val="Arial"/>
        <family val="2"/>
      </rPr>
      <t>80</t>
    </r>
    <r>
      <rPr>
        <b/>
        <sz val="10"/>
        <rFont val="Noto Sans CJK SC"/>
        <family val="2"/>
      </rPr>
      <t>명</t>
    </r>
    <r>
      <rPr>
        <b/>
        <sz val="10"/>
        <rFont val="Arial"/>
        <family val="2"/>
      </rPr>
      <t>)</t>
    </r>
    <r>
      <rPr>
        <b/>
        <sz val="10"/>
        <rFont val="Noto Sans CJK SC"/>
        <family val="2"/>
      </rPr>
      <t>의 부하를 서버가 견딘다</t>
    </r>
  </si>
  <si>
    <t>#289</t>
  </si>
  <si>
    <r>
      <rPr>
        <b/>
        <sz val="11"/>
        <color rgb="FFFFFFFF"/>
        <rFont val="Arial"/>
        <family val="2"/>
      </rPr>
      <t xml:space="preserve">Story </t>
    </r>
    <r>
      <rPr>
        <b/>
        <sz val="11"/>
        <color rgb="FFFFFFFF"/>
        <rFont val="Noto Sans CJK SC"/>
        <family val="2"/>
      </rPr>
      <t>수</t>
    </r>
  </si>
  <si>
    <r>
      <rPr>
        <b/>
        <sz val="11"/>
        <color rgb="FFFFFFFF"/>
        <rFont val="Arial"/>
        <family val="2"/>
      </rPr>
      <t xml:space="preserve">Task </t>
    </r>
    <r>
      <rPr>
        <b/>
        <sz val="11"/>
        <color rgb="FFFFFFFF"/>
        <rFont val="Noto Sans CJK SC"/>
        <family val="2"/>
      </rPr>
      <t>수</t>
    </r>
  </si>
  <si>
    <r>
      <rPr>
        <b/>
        <sz val="11"/>
        <color rgb="FFFFFFFF"/>
        <rFont val="Arial"/>
        <family val="2"/>
      </rPr>
      <t xml:space="preserve">Bug </t>
    </r>
    <r>
      <rPr>
        <b/>
        <sz val="11"/>
        <color rgb="FFFFFFFF"/>
        <rFont val="Noto Sans CJK SC"/>
        <family val="2"/>
      </rPr>
      <t>수</t>
    </r>
  </si>
  <si>
    <t>전체 이슈</t>
  </si>
  <si>
    <t>완료율</t>
  </si>
  <si>
    <r>
      <rPr>
        <sz val="10"/>
        <rFont val="Arial"/>
        <family val="2"/>
      </rPr>
      <t xml:space="preserve">Epic 1: </t>
    </r>
    <r>
      <rPr>
        <sz val="10"/>
        <rFont val="Noto Sans CJK SC"/>
        <family val="2"/>
      </rPr>
      <t xml:space="preserve">크롬 확장 프로그램 </t>
    </r>
    <r>
      <rPr>
        <sz val="10"/>
        <rFont val="Arial"/>
        <family val="2"/>
      </rPr>
      <t xml:space="preserve">- </t>
    </r>
    <r>
      <rPr>
        <sz val="10"/>
        <rFont val="Noto Sans CJK SC"/>
        <family val="2"/>
      </rPr>
      <t>핵심 데이터 수집</t>
    </r>
  </si>
  <si>
    <r>
      <rPr>
        <sz val="10"/>
        <rFont val="Arial"/>
        <family val="2"/>
      </rPr>
      <t xml:space="preserve">Epic 2: </t>
    </r>
    <r>
      <rPr>
        <sz val="10"/>
        <rFont val="Noto Sans CJK SC"/>
        <family val="2"/>
      </rPr>
      <t>분석 파이프라인</t>
    </r>
  </si>
  <si>
    <r>
      <rPr>
        <sz val="10"/>
        <rFont val="Arial"/>
        <family val="2"/>
      </rPr>
      <t xml:space="preserve">Epic 3: </t>
    </r>
    <r>
      <rPr>
        <sz val="10"/>
        <rFont val="Noto Sans CJK SC"/>
        <family val="2"/>
      </rPr>
      <t xml:space="preserve">팝업 </t>
    </r>
    <r>
      <rPr>
        <sz val="10"/>
        <rFont val="Arial"/>
        <family val="2"/>
      </rPr>
      <t xml:space="preserve">UI &amp; </t>
    </r>
    <r>
      <rPr>
        <sz val="10"/>
        <rFont val="Noto Sans CJK SC"/>
        <family val="2"/>
      </rPr>
      <t>시각화</t>
    </r>
  </si>
  <si>
    <r>
      <rPr>
        <sz val="10"/>
        <rFont val="Arial"/>
        <family val="2"/>
      </rPr>
      <t xml:space="preserve">Epic 4: </t>
    </r>
    <r>
      <rPr>
        <sz val="10"/>
        <rFont val="Noto Sans CJK SC"/>
        <family val="2"/>
      </rPr>
      <t xml:space="preserve">백엔드 서버 </t>
    </r>
    <r>
      <rPr>
        <sz val="10"/>
        <rFont val="Arial"/>
        <family val="2"/>
      </rPr>
      <t>- API &amp; DB</t>
    </r>
  </si>
  <si>
    <r>
      <rPr>
        <sz val="10"/>
        <rFont val="Arial"/>
        <family val="2"/>
      </rPr>
      <t xml:space="preserve">Epic 5: </t>
    </r>
    <r>
      <rPr>
        <sz val="10"/>
        <rFont val="Noto Sans CJK SC"/>
        <family val="2"/>
      </rPr>
      <t>데이터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개인정보 보강</t>
    </r>
  </si>
  <si>
    <r>
      <rPr>
        <sz val="10"/>
        <rFont val="Arial"/>
        <family val="2"/>
      </rPr>
      <t xml:space="preserve">Epic 6. </t>
    </r>
    <r>
      <rPr>
        <sz val="10"/>
        <rFont val="Noto Sans CJK SC"/>
        <family val="2"/>
      </rPr>
      <t>본 연구 착수 전 기능 안정화</t>
    </r>
  </si>
  <si>
    <r>
      <rPr>
        <sz val="10"/>
        <rFont val="Arial"/>
        <family val="2"/>
      </rPr>
      <t xml:space="preserve">Epic 7. </t>
    </r>
    <r>
      <rPr>
        <sz val="10"/>
        <rFont val="Noto Sans CJK SC"/>
        <family val="2"/>
      </rPr>
      <t>관측 체계 구축 및 운영</t>
    </r>
  </si>
  <si>
    <r>
      <rPr>
        <sz val="10"/>
        <rFont val="Arial"/>
        <family val="2"/>
      </rPr>
      <t xml:space="preserve">Epic 8. </t>
    </r>
    <r>
      <rPr>
        <sz val="10"/>
        <rFont val="Noto Sans CJK SC"/>
        <family val="2"/>
      </rPr>
      <t xml:space="preserve">본 연구 착수 전 </t>
    </r>
    <r>
      <rPr>
        <sz val="10"/>
        <rFont val="Arial"/>
        <family val="2"/>
      </rPr>
      <t xml:space="preserve">IRB </t>
    </r>
    <r>
      <rPr>
        <sz val="10"/>
        <rFont val="Noto Sans CJK SC"/>
        <family val="2"/>
      </rPr>
      <t>정합성 확보 및 시스템 정비</t>
    </r>
  </si>
  <si>
    <r>
      <rPr>
        <sz val="10"/>
        <rFont val="Arial"/>
        <family val="2"/>
      </rPr>
      <t xml:space="preserve">Epic 9. </t>
    </r>
    <r>
      <rPr>
        <sz val="10"/>
        <rFont val="Noto Sans CJK SC"/>
        <family val="2"/>
      </rPr>
      <t>테스트 및 품질 보강</t>
    </r>
  </si>
  <si>
    <t>합계</t>
  </si>
  <si>
    <t>제안 위치</t>
  </si>
  <si>
    <r>
      <rPr>
        <sz val="10"/>
        <rFont val="Arial"/>
        <family val="2"/>
      </rPr>
      <t xml:space="preserve">feat: </t>
    </r>
    <r>
      <rPr>
        <sz val="10"/>
        <rFont val="Noto Sans CJK SC"/>
        <family val="2"/>
      </rPr>
      <t>실험 온보딩 및 설문 알림 기능을 사용할 수 있다</t>
    </r>
  </si>
  <si>
    <r>
      <rPr>
        <sz val="10"/>
        <rFont val="Arial"/>
        <family val="2"/>
      </rPr>
      <t xml:space="preserve">#49 </t>
    </r>
    <r>
      <rPr>
        <sz val="10"/>
        <rFont val="Noto Sans CJK SC"/>
        <family val="2"/>
      </rPr>
      <t xml:space="preserve">하위 </t>
    </r>
    <r>
      <rPr>
        <sz val="10"/>
        <rFont val="Arial"/>
        <family val="2"/>
      </rPr>
      <t>Task</t>
    </r>
  </si>
  <si>
    <r>
      <rPr>
        <sz val="10"/>
        <rFont val="Arial"/>
        <family val="2"/>
      </rPr>
      <t>PR #76. #49</t>
    </r>
    <r>
      <rPr>
        <sz val="10"/>
        <rFont val="Noto Sans CJK SC"/>
        <family val="2"/>
      </rPr>
      <t>와 쌍둥이 작업 이슈</t>
    </r>
  </si>
  <si>
    <t>#75</t>
  </si>
  <si>
    <r>
      <rPr>
        <sz val="10"/>
        <rFont val="Noto Sans CJK SC"/>
        <family val="2"/>
      </rPr>
      <t>개인정보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 xml:space="preserve">식별자 체계 및 </t>
    </r>
    <r>
      <rPr>
        <sz val="10"/>
        <rFont val="Arial"/>
        <family val="2"/>
      </rPr>
      <t xml:space="preserve">IRB / </t>
    </r>
    <r>
      <rPr>
        <sz val="10"/>
        <rFont val="Noto Sans CJK SC"/>
        <family val="2"/>
      </rPr>
      <t>개인정보 처리방침 재설계</t>
    </r>
  </si>
  <si>
    <r>
      <rPr>
        <sz val="10"/>
        <rFont val="Arial"/>
        <family val="2"/>
      </rPr>
      <t xml:space="preserve">#128 </t>
    </r>
    <r>
      <rPr>
        <sz val="10"/>
        <rFont val="Noto Sans CJK SC"/>
        <family val="2"/>
      </rPr>
      <t xml:space="preserve">하위 </t>
    </r>
    <r>
      <rPr>
        <sz val="10"/>
        <rFont val="Arial"/>
        <family val="2"/>
      </rPr>
      <t>Task</t>
    </r>
  </si>
  <si>
    <r>
      <rPr>
        <sz val="10"/>
        <rFont val="Arial"/>
        <family val="2"/>
      </rPr>
      <t>PR #120. Story 5-1</t>
    </r>
    <r>
      <rPr>
        <sz val="10"/>
        <rFont val="Noto Sans CJK SC"/>
        <family val="2"/>
      </rPr>
      <t xml:space="preserve">의 </t>
    </r>
    <r>
      <rPr>
        <sz val="10"/>
        <rFont val="Arial"/>
        <family val="2"/>
      </rPr>
      <t>1</t>
    </r>
    <r>
      <rPr>
        <sz val="10"/>
        <rFont val="Noto Sans CJK SC"/>
        <family val="2"/>
      </rPr>
      <t>차 작업</t>
    </r>
  </si>
  <si>
    <t>#115</t>
  </si>
  <si>
    <r>
      <rPr>
        <sz val="10"/>
        <rFont val="Arial"/>
        <family val="2"/>
      </rPr>
      <t xml:space="preserve">bug: 4xx </t>
    </r>
    <r>
      <rPr>
        <sz val="10"/>
        <rFont val="Noto Sans CJK SC"/>
        <family val="2"/>
      </rPr>
      <t>접근 로그 추가 및 그 과정에서 발견한 보안</t>
    </r>
    <r>
      <rPr>
        <sz val="10"/>
        <rFont val="Arial"/>
        <family val="2"/>
      </rPr>
      <t>·</t>
    </r>
    <r>
      <rPr>
        <sz val="10"/>
        <rFont val="Noto Sans CJK SC"/>
        <family val="2"/>
      </rPr>
      <t>데이터 정합성 수정</t>
    </r>
  </si>
  <si>
    <r>
      <rPr>
        <sz val="10"/>
        <rFont val="Arial"/>
        <family val="2"/>
      </rPr>
      <t xml:space="preserve">#172 Story 7-1 </t>
    </r>
    <r>
      <rPr>
        <sz val="10"/>
        <rFont val="Noto Sans CJK SC"/>
        <family val="2"/>
      </rPr>
      <t xml:space="preserve">하위 </t>
    </r>
    <r>
      <rPr>
        <sz val="10"/>
        <rFont val="Arial"/>
        <family val="2"/>
      </rPr>
      <t>Bug</t>
    </r>
  </si>
  <si>
    <r>
      <rPr>
        <sz val="10"/>
        <rFont val="Noto Sans CJK SC"/>
        <family val="2"/>
      </rPr>
      <t xml:space="preserve">제목 접두어 </t>
    </r>
    <r>
      <rPr>
        <sz val="10"/>
        <rFont val="Arial"/>
        <family val="2"/>
      </rPr>
      <t xml:space="preserve">fix: </t>
    </r>
    <r>
      <rPr>
        <sz val="10"/>
        <rFont val="Noto Sans CJK SC"/>
        <family val="2"/>
      </rPr>
      <t>로 변경 권장</t>
    </r>
  </si>
  <si>
    <t>#269</t>
  </si>
  <si>
    <r>
      <rPr>
        <sz val="10"/>
        <rFont val="Arial"/>
        <family val="2"/>
      </rPr>
      <t xml:space="preserve">feat: </t>
    </r>
    <r>
      <rPr>
        <sz val="10"/>
        <rFont val="Noto Sans CJK SC"/>
        <family val="2"/>
      </rPr>
      <t>세션 분석 완료 후 서버 전송</t>
    </r>
  </si>
  <si>
    <t>중복으로 닫기</t>
  </si>
  <si>
    <r>
      <rPr>
        <sz val="10"/>
        <rFont val="Arial"/>
        <family val="2"/>
      </rPr>
      <t>#89</t>
    </r>
    <r>
      <rPr>
        <sz val="10"/>
        <rFont val="Noto Sans CJK SC"/>
        <family val="2"/>
      </rPr>
      <t>와 본문 동일</t>
    </r>
  </si>
  <si>
    <t>#91</t>
  </si>
  <si>
    <r>
      <rPr>
        <sz val="10"/>
        <rFont val="Arial"/>
        <family val="2"/>
      </rPr>
      <t>2</t>
    </r>
    <r>
      <rPr>
        <sz val="10"/>
        <rFont val="Noto Sans CJK SC"/>
        <family val="2"/>
      </rPr>
      <t>차 개발 작업 리스트 및 폴더 구조 정리</t>
    </r>
  </si>
  <si>
    <t>부모 없음</t>
  </si>
  <si>
    <r>
      <rPr>
        <sz val="10"/>
        <rFont val="Noto Sans CJK SC"/>
        <family val="2"/>
      </rPr>
      <t>프로젝트 관리 작업</t>
    </r>
    <r>
      <rPr>
        <sz val="10"/>
        <rFont val="Arial"/>
        <family val="2"/>
      </rPr>
      <t>, PR #98</t>
    </r>
  </si>
  <si>
    <t>#97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</si>
</sst>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7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1"/>
      <color rgb="FFFFFFFF"/>
      <name val="Noto Sans CJK SC"/>
      <family val="2"/>
    </font>
    <font>
      <sz val="10"/>
      <name val="Arial"/>
      <family val="2"/>
    </font>
    <font>
      <b/>
      <sz val="10"/>
      <color rgb="FF5B3FA8"/>
      <name val="Arial"/>
      <family val="2"/>
    </font>
    <font>
      <b/>
      <sz val="10"/>
      <name val="Arial"/>
      <family val="2"/>
    </font>
    <font>
      <b/>
      <sz val="10"/>
      <name val="Noto Sans CJK SC"/>
      <family val="2"/>
    </font>
    <font>
      <sz val="10"/>
      <color rgb="FF1A7F37"/>
      <name val="Arial"/>
      <family val="2"/>
    </font>
    <font>
      <u/>
      <sz val="10"/>
      <color rgb="FF0969DA"/>
      <name val="Arial"/>
      <family val="2"/>
    </font>
    <font>
      <b/>
      <sz val="10"/>
      <color rgb="FF1F6FEB"/>
      <name val="Arial"/>
      <family val="2"/>
    </font>
    <font>
      <b/>
      <sz val="10"/>
      <color rgb="FF24292F"/>
      <name val="Arial"/>
      <family val="2"/>
    </font>
    <font>
      <sz val="10"/>
      <name val="Noto Sans CJK SC"/>
      <family val="2"/>
    </font>
    <font>
      <b/>
      <sz val="10"/>
      <color rgb="FFCF222E"/>
      <name val="Arial"/>
      <family val="2"/>
    </font>
    <font>
      <sz val="10"/>
      <color rgb="FF9A6700"/>
      <name val="Arial"/>
      <family val="2"/>
    </font>
    <font>
      <i/>
      <sz val="9"/>
      <color rgb="FF57606A"/>
      <name val="Noto Sans CJK SC"/>
      <family val="2"/>
    </font>
    <font>
      <b/>
      <sz val="11"/>
      <color rgb="FFFFFFFF"/>
      <name val="Arial"/>
      <family val="2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4292F"/>
        <bgColor rgb="FF333300"/>
      </patternFill>
    </fill>
    <fill>
      <patternFill patternType="solid">
        <fgColor rgb="FFDDE4EE"/>
        <bgColor rgb="FFD0D7DE"/>
      </patternFill>
    </fill>
    <fill>
      <patternFill patternType="solid">
        <fgColor rgb="FFF1F4F8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176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0" applyFont="1" applyBorder="1"/>
    <xf numFmtId="176" fontId="5" fillId="0" borderId="1" xfId="0" applyNumberFormat="1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8" fillId="0" borderId="0" xfId="0" applyFont="1"/>
    <xf numFmtId="0" fontId="11" fillId="0" borderId="1" xfId="0" applyFont="1" applyBorder="1"/>
    <xf numFmtId="0" fontId="14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7F37"/>
      <rgbColor rgb="FF000080"/>
      <rgbColor rgb="FF9A6700"/>
      <rgbColor rgb="FF800080"/>
      <rgbColor rgb="FF008080"/>
      <rgbColor rgb="FFC0C0C0"/>
      <rgbColor rgb="FF808080"/>
      <rgbColor rgb="FF9999FF"/>
      <rgbColor rgb="FF993366"/>
      <rgbColor rgb="FFF1F4F8"/>
      <rgbColor rgb="FFDDE4EE"/>
      <rgbColor rgb="FF660066"/>
      <rgbColor rgb="FFFF8080"/>
      <rgbColor rgb="FF0969DA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CF222E"/>
      <rgbColor rgb="FF993366"/>
      <rgbColor rgb="FF5B3FA8"/>
      <rgbColor rgb="FF2429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mangoooooo1/youtube-bias-feedback/issues/226" TargetMode="External"/><Relationship Id="rId21" Type="http://schemas.openxmlformats.org/officeDocument/2006/relationships/hyperlink" Target="https://github.com/mangoooooo1/youtube-bias-feedback/issues/17" TargetMode="External"/><Relationship Id="rId42" Type="http://schemas.openxmlformats.org/officeDocument/2006/relationships/hyperlink" Target="https://github.com/mangoooooo1/youtube-bias-feedback/issues/34" TargetMode="External"/><Relationship Id="rId63" Type="http://schemas.openxmlformats.org/officeDocument/2006/relationships/hyperlink" Target="https://github.com/mangoooooo1/youtube-bias-feedback/issues/47" TargetMode="External"/><Relationship Id="rId84" Type="http://schemas.openxmlformats.org/officeDocument/2006/relationships/hyperlink" Target="https://github.com/mangoooooo1/youtube-bias-feedback/issues/138" TargetMode="External"/><Relationship Id="rId138" Type="http://schemas.openxmlformats.org/officeDocument/2006/relationships/hyperlink" Target="https://github.com/mangoooooo1/youtube-bias-feedback/issues/282" TargetMode="External"/><Relationship Id="rId159" Type="http://schemas.openxmlformats.org/officeDocument/2006/relationships/hyperlink" Target="https://github.com/mangoooooo1/youtube-bias-feedback/issues/289" TargetMode="External"/><Relationship Id="rId107" Type="http://schemas.openxmlformats.org/officeDocument/2006/relationships/hyperlink" Target="https://github.com/mangoooooo1/youtube-bias-feedback/issues/278" TargetMode="External"/><Relationship Id="rId11" Type="http://schemas.openxmlformats.org/officeDocument/2006/relationships/hyperlink" Target="https://github.com/mangoooooo1/youtube-bias-feedback/issues/10" TargetMode="External"/><Relationship Id="rId32" Type="http://schemas.openxmlformats.org/officeDocument/2006/relationships/hyperlink" Target="https://github.com/mangoooooo1/youtube-bias-feedback/issues/26" TargetMode="External"/><Relationship Id="rId53" Type="http://schemas.openxmlformats.org/officeDocument/2006/relationships/hyperlink" Target="https://github.com/mangoooooo1/youtube-bias-feedback/issues/71" TargetMode="External"/><Relationship Id="rId74" Type="http://schemas.openxmlformats.org/officeDocument/2006/relationships/hyperlink" Target="https://github.com/mangoooooo1/youtube-bias-feedback/issues/54" TargetMode="External"/><Relationship Id="rId128" Type="http://schemas.openxmlformats.org/officeDocument/2006/relationships/hyperlink" Target="https://github.com/mangoooooo1/youtube-bias-feedback/issues/281" TargetMode="External"/><Relationship Id="rId149" Type="http://schemas.openxmlformats.org/officeDocument/2006/relationships/hyperlink" Target="https://github.com/mangoooooo1/youtube-bias-feedback/issues/240" TargetMode="External"/><Relationship Id="rId5" Type="http://schemas.openxmlformats.org/officeDocument/2006/relationships/hyperlink" Target="https://github.com/mangoooooo1/youtube-bias-feedback/issues/5" TargetMode="External"/><Relationship Id="rId95" Type="http://schemas.openxmlformats.org/officeDocument/2006/relationships/hyperlink" Target="https://github.com/mangoooooo1/youtube-bias-feedback/issues/159" TargetMode="External"/><Relationship Id="rId22" Type="http://schemas.openxmlformats.org/officeDocument/2006/relationships/hyperlink" Target="https://github.com/mangoooooo1/youtube-bias-feedback/issues/18" TargetMode="External"/><Relationship Id="rId43" Type="http://schemas.openxmlformats.org/officeDocument/2006/relationships/hyperlink" Target="https://github.com/mangoooooo1/youtube-bias-feedback/issues/35" TargetMode="External"/><Relationship Id="rId64" Type="http://schemas.openxmlformats.org/officeDocument/2006/relationships/hyperlink" Target="https://github.com/mangoooooo1/youtube-bias-feedback/issues/48" TargetMode="External"/><Relationship Id="rId118" Type="http://schemas.openxmlformats.org/officeDocument/2006/relationships/hyperlink" Target="https://github.com/mangoooooo1/youtube-bias-feedback/issues/227" TargetMode="External"/><Relationship Id="rId139" Type="http://schemas.openxmlformats.org/officeDocument/2006/relationships/hyperlink" Target="https://github.com/mangoooooo1/youtube-bias-feedback/issues/213" TargetMode="External"/><Relationship Id="rId80" Type="http://schemas.openxmlformats.org/officeDocument/2006/relationships/hyperlink" Target="https://github.com/mangoooooo1/youtube-bias-feedback/issues/132" TargetMode="External"/><Relationship Id="rId85" Type="http://schemas.openxmlformats.org/officeDocument/2006/relationships/hyperlink" Target="https://github.com/mangoooooo1/youtube-bias-feedback/issues/273" TargetMode="External"/><Relationship Id="rId150" Type="http://schemas.openxmlformats.org/officeDocument/2006/relationships/hyperlink" Target="https://github.com/mangoooooo1/youtube-bias-feedback/issues/286" TargetMode="External"/><Relationship Id="rId155" Type="http://schemas.openxmlformats.org/officeDocument/2006/relationships/hyperlink" Target="https://github.com/mangoooooo1/youtube-bias-feedback/issues/134" TargetMode="External"/><Relationship Id="rId12" Type="http://schemas.openxmlformats.org/officeDocument/2006/relationships/hyperlink" Target="https://github.com/mangoooooo1/youtube-bias-feedback/issues/11" TargetMode="External"/><Relationship Id="rId17" Type="http://schemas.openxmlformats.org/officeDocument/2006/relationships/hyperlink" Target="https://github.com/mangoooooo1/youtube-bias-feedback/issues/15" TargetMode="External"/><Relationship Id="rId33" Type="http://schemas.openxmlformats.org/officeDocument/2006/relationships/hyperlink" Target="https://github.com/mangoooooo1/youtube-bias-feedback/issues/27" TargetMode="External"/><Relationship Id="rId38" Type="http://schemas.openxmlformats.org/officeDocument/2006/relationships/hyperlink" Target="https://github.com/mangoooooo1/youtube-bias-feedback/issues/102" TargetMode="External"/><Relationship Id="rId59" Type="http://schemas.openxmlformats.org/officeDocument/2006/relationships/hyperlink" Target="https://github.com/mangoooooo1/youtube-bias-feedback/issues/43" TargetMode="External"/><Relationship Id="rId103" Type="http://schemas.openxmlformats.org/officeDocument/2006/relationships/hyperlink" Target="https://github.com/mangoooooo1/youtube-bias-feedback/issues/261" TargetMode="External"/><Relationship Id="rId108" Type="http://schemas.openxmlformats.org/officeDocument/2006/relationships/hyperlink" Target="https://github.com/mangoooooo1/youtube-bias-feedback/issues/202" TargetMode="External"/><Relationship Id="rId124" Type="http://schemas.openxmlformats.org/officeDocument/2006/relationships/hyperlink" Target="https://github.com/mangoooooo1/youtube-bias-feedback/issues/280" TargetMode="External"/><Relationship Id="rId129" Type="http://schemas.openxmlformats.org/officeDocument/2006/relationships/hyperlink" Target="https://github.com/mangoooooo1/youtube-bias-feedback/issues/209" TargetMode="External"/><Relationship Id="rId54" Type="http://schemas.openxmlformats.org/officeDocument/2006/relationships/hyperlink" Target="https://github.com/mangoooooo1/youtube-bias-feedback/issues/270" TargetMode="External"/><Relationship Id="rId70" Type="http://schemas.openxmlformats.org/officeDocument/2006/relationships/hyperlink" Target="https://github.com/mangoooooo1/youtube-bias-feedback/issues/51" TargetMode="External"/><Relationship Id="rId75" Type="http://schemas.openxmlformats.org/officeDocument/2006/relationships/hyperlink" Target="https://github.com/mangoooooo1/youtube-bias-feedback/issues/79" TargetMode="External"/><Relationship Id="rId91" Type="http://schemas.openxmlformats.org/officeDocument/2006/relationships/hyperlink" Target="https://github.com/mangoooooo1/youtube-bias-feedback/issues/274" TargetMode="External"/><Relationship Id="rId96" Type="http://schemas.openxmlformats.org/officeDocument/2006/relationships/hyperlink" Target="https://github.com/mangoooooo1/youtube-bias-feedback/issues/275" TargetMode="External"/><Relationship Id="rId140" Type="http://schemas.openxmlformats.org/officeDocument/2006/relationships/hyperlink" Target="https://github.com/mangoooooo1/youtube-bias-feedback/issues/208" TargetMode="External"/><Relationship Id="rId145" Type="http://schemas.openxmlformats.org/officeDocument/2006/relationships/hyperlink" Target="https://github.com/mangoooooo1/youtube-bias-feedback/issues/285" TargetMode="External"/><Relationship Id="rId1" Type="http://schemas.openxmlformats.org/officeDocument/2006/relationships/hyperlink" Target="https://github.com/mangoooooo1/youtube-bias-feedback/issues/1" TargetMode="External"/><Relationship Id="rId6" Type="http://schemas.openxmlformats.org/officeDocument/2006/relationships/hyperlink" Target="https://github.com/mangoooooo1/youtube-bias-feedback/issues/6" TargetMode="External"/><Relationship Id="rId23" Type="http://schemas.openxmlformats.org/officeDocument/2006/relationships/hyperlink" Target="https://github.com/mangoooooo1/youtube-bias-feedback/issues/19" TargetMode="External"/><Relationship Id="rId28" Type="http://schemas.openxmlformats.org/officeDocument/2006/relationships/hyperlink" Target="https://github.com/mangoooooo1/youtube-bias-feedback/issues/23" TargetMode="External"/><Relationship Id="rId49" Type="http://schemas.openxmlformats.org/officeDocument/2006/relationships/hyperlink" Target="https://github.com/mangoooooo1/youtube-bias-feedback/issues/39" TargetMode="External"/><Relationship Id="rId114" Type="http://schemas.openxmlformats.org/officeDocument/2006/relationships/hyperlink" Target="https://github.com/mangoooooo1/youtube-bias-feedback/issues/279" TargetMode="External"/><Relationship Id="rId119" Type="http://schemas.openxmlformats.org/officeDocument/2006/relationships/hyperlink" Target="https://github.com/mangoooooo1/youtube-bias-feedback/issues/228" TargetMode="External"/><Relationship Id="rId44" Type="http://schemas.openxmlformats.org/officeDocument/2006/relationships/hyperlink" Target="https://github.com/mangoooooo1/youtube-bias-feedback/issues/67" TargetMode="External"/><Relationship Id="rId60" Type="http://schemas.openxmlformats.org/officeDocument/2006/relationships/hyperlink" Target="https://github.com/mangoooooo1/youtube-bias-feedback/issues/44" TargetMode="External"/><Relationship Id="rId65" Type="http://schemas.openxmlformats.org/officeDocument/2006/relationships/hyperlink" Target="https://github.com/mangoooooo1/youtube-bias-feedback/issues/73" TargetMode="External"/><Relationship Id="rId81" Type="http://schemas.openxmlformats.org/officeDocument/2006/relationships/hyperlink" Target="https://github.com/mangoooooo1/youtube-bias-feedback/issues/140" TargetMode="External"/><Relationship Id="rId86" Type="http://schemas.openxmlformats.org/officeDocument/2006/relationships/hyperlink" Target="https://github.com/mangoooooo1/youtube-bias-feedback/issues/224" TargetMode="External"/><Relationship Id="rId130" Type="http://schemas.openxmlformats.org/officeDocument/2006/relationships/hyperlink" Target="https://github.com/mangoooooo1/youtube-bias-feedback/issues/218" TargetMode="External"/><Relationship Id="rId135" Type="http://schemas.openxmlformats.org/officeDocument/2006/relationships/hyperlink" Target="https://github.com/mangoooooo1/youtube-bias-feedback/issues/255" TargetMode="External"/><Relationship Id="rId151" Type="http://schemas.openxmlformats.org/officeDocument/2006/relationships/hyperlink" Target="https://github.com/mangoooooo1/youtube-bias-feedback/issues/233" TargetMode="External"/><Relationship Id="rId156" Type="http://schemas.openxmlformats.org/officeDocument/2006/relationships/hyperlink" Target="https://github.com/mangoooooo1/youtube-bias-feedback/issues/241" TargetMode="External"/><Relationship Id="rId13" Type="http://schemas.openxmlformats.org/officeDocument/2006/relationships/hyperlink" Target="https://github.com/mangoooooo1/youtube-bias-feedback/issues/57" TargetMode="External"/><Relationship Id="rId18" Type="http://schemas.openxmlformats.org/officeDocument/2006/relationships/hyperlink" Target="https://github.com/mangoooooo1/youtube-bias-feedback/issues/16" TargetMode="External"/><Relationship Id="rId39" Type="http://schemas.openxmlformats.org/officeDocument/2006/relationships/hyperlink" Target="https://github.com/mangoooooo1/youtube-bias-feedback/issues/31" TargetMode="External"/><Relationship Id="rId109" Type="http://schemas.openxmlformats.org/officeDocument/2006/relationships/hyperlink" Target="https://github.com/mangoooooo1/youtube-bias-feedback/issues/172" TargetMode="External"/><Relationship Id="rId34" Type="http://schemas.openxmlformats.org/officeDocument/2006/relationships/hyperlink" Target="https://github.com/mangoooooo1/youtube-bias-feedback/issues/28" TargetMode="External"/><Relationship Id="rId50" Type="http://schemas.openxmlformats.org/officeDocument/2006/relationships/hyperlink" Target="https://github.com/mangoooooo1/youtube-bias-feedback/issues/40" TargetMode="External"/><Relationship Id="rId55" Type="http://schemas.openxmlformats.org/officeDocument/2006/relationships/hyperlink" Target="https://github.com/mangoooooo1/youtube-bias-feedback/issues/88" TargetMode="External"/><Relationship Id="rId76" Type="http://schemas.openxmlformats.org/officeDocument/2006/relationships/hyperlink" Target="https://github.com/mangoooooo1/youtube-bias-feedback/issues/127" TargetMode="External"/><Relationship Id="rId97" Type="http://schemas.openxmlformats.org/officeDocument/2006/relationships/hyperlink" Target="https://github.com/mangoooooo1/youtube-bias-feedback/issues/149" TargetMode="External"/><Relationship Id="rId104" Type="http://schemas.openxmlformats.org/officeDocument/2006/relationships/hyperlink" Target="https://github.com/mangoooooo1/youtube-bias-feedback/issues/277" TargetMode="External"/><Relationship Id="rId120" Type="http://schemas.openxmlformats.org/officeDocument/2006/relationships/hyperlink" Target="https://github.com/mangoooooo1/youtube-bias-feedback/issues/267" TargetMode="External"/><Relationship Id="rId125" Type="http://schemas.openxmlformats.org/officeDocument/2006/relationships/hyperlink" Target="https://github.com/mangoooooo1/youtube-bias-feedback/issues/160" TargetMode="External"/><Relationship Id="rId141" Type="http://schemas.openxmlformats.org/officeDocument/2006/relationships/hyperlink" Target="https://github.com/mangoooooo1/youtube-bias-feedback/issues/283" TargetMode="External"/><Relationship Id="rId146" Type="http://schemas.openxmlformats.org/officeDocument/2006/relationships/hyperlink" Target="https://github.com/mangoooooo1/youtube-bias-feedback/issues/234" TargetMode="External"/><Relationship Id="rId7" Type="http://schemas.openxmlformats.org/officeDocument/2006/relationships/hyperlink" Target="https://github.com/mangoooooo1/youtube-bias-feedback/issues/7" TargetMode="External"/><Relationship Id="rId71" Type="http://schemas.openxmlformats.org/officeDocument/2006/relationships/hyperlink" Target="https://github.com/mangoooooo1/youtube-bias-feedback/issues/78" TargetMode="External"/><Relationship Id="rId92" Type="http://schemas.openxmlformats.org/officeDocument/2006/relationships/hyperlink" Target="https://github.com/mangoooooo1/youtube-bias-feedback/issues/146" TargetMode="External"/><Relationship Id="rId2" Type="http://schemas.openxmlformats.org/officeDocument/2006/relationships/hyperlink" Target="https://github.com/mangoooooo1/youtube-bias-feedback/issues/2" TargetMode="External"/><Relationship Id="rId29" Type="http://schemas.openxmlformats.org/officeDocument/2006/relationships/hyperlink" Target="https://github.com/mangoooooo1/youtube-bias-feedback/issues/24" TargetMode="External"/><Relationship Id="rId24" Type="http://schemas.openxmlformats.org/officeDocument/2006/relationships/hyperlink" Target="https://github.com/mangoooooo1/youtube-bias-feedback/issues/20" TargetMode="External"/><Relationship Id="rId40" Type="http://schemas.openxmlformats.org/officeDocument/2006/relationships/hyperlink" Target="https://github.com/mangoooooo1/youtube-bias-feedback/issues/32" TargetMode="External"/><Relationship Id="rId45" Type="http://schemas.openxmlformats.org/officeDocument/2006/relationships/hyperlink" Target="https://github.com/mangoooooo1/youtube-bias-feedback/issues/36" TargetMode="External"/><Relationship Id="rId66" Type="http://schemas.openxmlformats.org/officeDocument/2006/relationships/hyperlink" Target="https://github.com/mangoooooo1/youtube-bias-feedback/issues/89" TargetMode="External"/><Relationship Id="rId87" Type="http://schemas.openxmlformats.org/officeDocument/2006/relationships/hyperlink" Target="https://github.com/mangoooooo1/youtube-bias-feedback/issues/292" TargetMode="External"/><Relationship Id="rId110" Type="http://schemas.openxmlformats.org/officeDocument/2006/relationships/hyperlink" Target="https://github.com/mangoooooo1/youtube-bias-feedback/issues/192" TargetMode="External"/><Relationship Id="rId115" Type="http://schemas.openxmlformats.org/officeDocument/2006/relationships/hyperlink" Target="https://github.com/mangoooooo1/youtube-bias-feedback/issues/203" TargetMode="External"/><Relationship Id="rId131" Type="http://schemas.openxmlformats.org/officeDocument/2006/relationships/hyperlink" Target="https://github.com/mangoooooo1/youtube-bias-feedback/issues/211" TargetMode="External"/><Relationship Id="rId136" Type="http://schemas.openxmlformats.org/officeDocument/2006/relationships/hyperlink" Target="https://github.com/mangoooooo1/youtube-bias-feedback/issues/256" TargetMode="External"/><Relationship Id="rId157" Type="http://schemas.openxmlformats.org/officeDocument/2006/relationships/hyperlink" Target="https://github.com/mangoooooo1/youtube-bias-feedback/issues/244" TargetMode="External"/><Relationship Id="rId61" Type="http://schemas.openxmlformats.org/officeDocument/2006/relationships/hyperlink" Target="https://github.com/mangoooooo1/youtube-bias-feedback/issues/45" TargetMode="External"/><Relationship Id="rId82" Type="http://schemas.openxmlformats.org/officeDocument/2006/relationships/hyperlink" Target="https://github.com/mangoooooo1/youtube-bias-feedback/issues/136" TargetMode="External"/><Relationship Id="rId152" Type="http://schemas.openxmlformats.org/officeDocument/2006/relationships/hyperlink" Target="https://github.com/mangoooooo1/youtube-bias-feedback/issues/259" TargetMode="External"/><Relationship Id="rId19" Type="http://schemas.openxmlformats.org/officeDocument/2006/relationships/hyperlink" Target="https://github.com/mangoooooo1/youtube-bias-feedback/issues/59" TargetMode="External"/><Relationship Id="rId14" Type="http://schemas.openxmlformats.org/officeDocument/2006/relationships/hyperlink" Target="https://github.com/mangoooooo1/youtube-bias-feedback/issues/12" TargetMode="External"/><Relationship Id="rId30" Type="http://schemas.openxmlformats.org/officeDocument/2006/relationships/hyperlink" Target="https://github.com/mangoooooo1/youtube-bias-feedback/issues/25" TargetMode="External"/><Relationship Id="rId35" Type="http://schemas.openxmlformats.org/officeDocument/2006/relationships/hyperlink" Target="https://github.com/mangoooooo1/youtube-bias-feedback/issues/29" TargetMode="External"/><Relationship Id="rId56" Type="http://schemas.openxmlformats.org/officeDocument/2006/relationships/hyperlink" Target="https://github.com/mangoooooo1/youtube-bias-feedback/issues/290" TargetMode="External"/><Relationship Id="rId77" Type="http://schemas.openxmlformats.org/officeDocument/2006/relationships/hyperlink" Target="https://github.com/mangoooooo1/youtube-bias-feedback/issues/128" TargetMode="External"/><Relationship Id="rId100" Type="http://schemas.openxmlformats.org/officeDocument/2006/relationships/hyperlink" Target="https://github.com/mangoooooo1/youtube-bias-feedback/issues/152" TargetMode="External"/><Relationship Id="rId105" Type="http://schemas.openxmlformats.org/officeDocument/2006/relationships/hyperlink" Target="https://github.com/mangoooooo1/youtube-bias-feedback/issues/193" TargetMode="External"/><Relationship Id="rId126" Type="http://schemas.openxmlformats.org/officeDocument/2006/relationships/hyperlink" Target="https://github.com/mangoooooo1/youtube-bias-feedback/issues/197" TargetMode="External"/><Relationship Id="rId147" Type="http://schemas.openxmlformats.org/officeDocument/2006/relationships/hyperlink" Target="https://github.com/mangoooooo1/youtube-bias-feedback/issues/235" TargetMode="External"/><Relationship Id="rId8" Type="http://schemas.openxmlformats.org/officeDocument/2006/relationships/hyperlink" Target="https://github.com/mangoooooo1/youtube-bias-feedback/issues/55" TargetMode="External"/><Relationship Id="rId51" Type="http://schemas.openxmlformats.org/officeDocument/2006/relationships/hyperlink" Target="https://github.com/mangoooooo1/youtube-bias-feedback/issues/41" TargetMode="External"/><Relationship Id="rId72" Type="http://schemas.openxmlformats.org/officeDocument/2006/relationships/hyperlink" Target="https://github.com/mangoooooo1/youtube-bias-feedback/issues/52" TargetMode="External"/><Relationship Id="rId93" Type="http://schemas.openxmlformats.org/officeDocument/2006/relationships/hyperlink" Target="https://github.com/mangoooooo1/youtube-bias-feedback/issues/147" TargetMode="External"/><Relationship Id="rId98" Type="http://schemas.openxmlformats.org/officeDocument/2006/relationships/hyperlink" Target="https://github.com/mangoooooo1/youtube-bias-feedback/issues/223" TargetMode="External"/><Relationship Id="rId121" Type="http://schemas.openxmlformats.org/officeDocument/2006/relationships/hyperlink" Target="https://github.com/mangoooooo1/youtube-bias-feedback/issues/268" TargetMode="External"/><Relationship Id="rId142" Type="http://schemas.openxmlformats.org/officeDocument/2006/relationships/hyperlink" Target="https://github.com/mangoooooo1/youtube-bias-feedback/issues/165" TargetMode="External"/><Relationship Id="rId3" Type="http://schemas.openxmlformats.org/officeDocument/2006/relationships/hyperlink" Target="https://github.com/mangoooooo1/youtube-bias-feedback/issues/3" TargetMode="External"/><Relationship Id="rId25" Type="http://schemas.openxmlformats.org/officeDocument/2006/relationships/hyperlink" Target="https://github.com/mangoooooo1/youtube-bias-feedback/issues/21" TargetMode="External"/><Relationship Id="rId46" Type="http://schemas.openxmlformats.org/officeDocument/2006/relationships/hyperlink" Target="https://github.com/mangoooooo1/youtube-bias-feedback/issues/37" TargetMode="External"/><Relationship Id="rId67" Type="http://schemas.openxmlformats.org/officeDocument/2006/relationships/hyperlink" Target="https://github.com/mangoooooo1/youtube-bias-feedback/issues/49" TargetMode="External"/><Relationship Id="rId116" Type="http://schemas.openxmlformats.org/officeDocument/2006/relationships/hyperlink" Target="https://github.com/mangoooooo1/youtube-bias-feedback/issues/225" TargetMode="External"/><Relationship Id="rId137" Type="http://schemas.openxmlformats.org/officeDocument/2006/relationships/hyperlink" Target="https://github.com/mangoooooo1/youtube-bias-feedback/issues/262" TargetMode="External"/><Relationship Id="rId158" Type="http://schemas.openxmlformats.org/officeDocument/2006/relationships/hyperlink" Target="https://github.com/mangoooooo1/youtube-bias-feedback/issues/288" TargetMode="External"/><Relationship Id="rId20" Type="http://schemas.openxmlformats.org/officeDocument/2006/relationships/hyperlink" Target="https://github.com/mangoooooo1/youtube-bias-feedback/issues/93" TargetMode="External"/><Relationship Id="rId41" Type="http://schemas.openxmlformats.org/officeDocument/2006/relationships/hyperlink" Target="https://github.com/mangoooooo1/youtube-bias-feedback/issues/33" TargetMode="External"/><Relationship Id="rId62" Type="http://schemas.openxmlformats.org/officeDocument/2006/relationships/hyperlink" Target="https://github.com/mangoooooo1/youtube-bias-feedback/issues/46" TargetMode="External"/><Relationship Id="rId83" Type="http://schemas.openxmlformats.org/officeDocument/2006/relationships/hyperlink" Target="https://github.com/mangoooooo1/youtube-bias-feedback/issues/291" TargetMode="External"/><Relationship Id="rId88" Type="http://schemas.openxmlformats.org/officeDocument/2006/relationships/hyperlink" Target="https://github.com/mangoooooo1/youtube-bias-feedback/issues/178" TargetMode="External"/><Relationship Id="rId111" Type="http://schemas.openxmlformats.org/officeDocument/2006/relationships/hyperlink" Target="https://github.com/mangoooooo1/youtube-bias-feedback/issues/204" TargetMode="External"/><Relationship Id="rId132" Type="http://schemas.openxmlformats.org/officeDocument/2006/relationships/hyperlink" Target="https://github.com/mangoooooo1/youtube-bias-feedback/issues/217" TargetMode="External"/><Relationship Id="rId153" Type="http://schemas.openxmlformats.org/officeDocument/2006/relationships/hyperlink" Target="https://github.com/mangoooooo1/youtube-bias-feedback/issues/265" TargetMode="External"/><Relationship Id="rId15" Type="http://schemas.openxmlformats.org/officeDocument/2006/relationships/hyperlink" Target="https://github.com/mangoooooo1/youtube-bias-feedback/issues/13" TargetMode="External"/><Relationship Id="rId36" Type="http://schemas.openxmlformats.org/officeDocument/2006/relationships/hyperlink" Target="https://github.com/mangoooooo1/youtube-bias-feedback/issues/30" TargetMode="External"/><Relationship Id="rId57" Type="http://schemas.openxmlformats.org/officeDocument/2006/relationships/hyperlink" Target="https://github.com/mangoooooo1/youtube-bias-feedback/issues/86" TargetMode="External"/><Relationship Id="rId106" Type="http://schemas.openxmlformats.org/officeDocument/2006/relationships/hyperlink" Target="https://github.com/mangoooooo1/youtube-bias-feedback/issues/196" TargetMode="External"/><Relationship Id="rId127" Type="http://schemas.openxmlformats.org/officeDocument/2006/relationships/hyperlink" Target="https://github.com/mangoooooo1/youtube-bias-feedback/issues/210" TargetMode="External"/><Relationship Id="rId10" Type="http://schemas.openxmlformats.org/officeDocument/2006/relationships/hyperlink" Target="https://github.com/mangoooooo1/youtube-bias-feedback/issues/9" TargetMode="External"/><Relationship Id="rId31" Type="http://schemas.openxmlformats.org/officeDocument/2006/relationships/hyperlink" Target="https://github.com/mangoooooo1/youtube-bias-feedback/issues/63" TargetMode="External"/><Relationship Id="rId52" Type="http://schemas.openxmlformats.org/officeDocument/2006/relationships/hyperlink" Target="https://github.com/mangoooooo1/youtube-bias-feedback/issues/42" TargetMode="External"/><Relationship Id="rId73" Type="http://schemas.openxmlformats.org/officeDocument/2006/relationships/hyperlink" Target="https://github.com/mangoooooo1/youtube-bias-feedback/issues/53" TargetMode="External"/><Relationship Id="rId78" Type="http://schemas.openxmlformats.org/officeDocument/2006/relationships/hyperlink" Target="https://github.com/mangoooooo1/youtube-bias-feedback/issues/130" TargetMode="External"/><Relationship Id="rId94" Type="http://schemas.openxmlformats.org/officeDocument/2006/relationships/hyperlink" Target="https://github.com/mangoooooo1/youtube-bias-feedback/issues/148" TargetMode="External"/><Relationship Id="rId99" Type="http://schemas.openxmlformats.org/officeDocument/2006/relationships/hyperlink" Target="https://github.com/mangoooooo1/youtube-bias-feedback/issues/276" TargetMode="External"/><Relationship Id="rId101" Type="http://schemas.openxmlformats.org/officeDocument/2006/relationships/hyperlink" Target="https://github.com/mangoooooo1/youtube-bias-feedback/issues/153" TargetMode="External"/><Relationship Id="rId122" Type="http://schemas.openxmlformats.org/officeDocument/2006/relationships/hyperlink" Target="https://github.com/mangoooooo1/youtube-bias-feedback/issues/232" TargetMode="External"/><Relationship Id="rId143" Type="http://schemas.openxmlformats.org/officeDocument/2006/relationships/hyperlink" Target="https://github.com/mangoooooo1/youtube-bias-feedback/issues/167" TargetMode="External"/><Relationship Id="rId148" Type="http://schemas.openxmlformats.org/officeDocument/2006/relationships/hyperlink" Target="https://github.com/mangoooooo1/youtube-bias-feedback/issues/236" TargetMode="External"/><Relationship Id="rId4" Type="http://schemas.openxmlformats.org/officeDocument/2006/relationships/hyperlink" Target="https://github.com/mangoooooo1/youtube-bias-feedback/issues/4" TargetMode="External"/><Relationship Id="rId9" Type="http://schemas.openxmlformats.org/officeDocument/2006/relationships/hyperlink" Target="https://github.com/mangoooooo1/youtube-bias-feedback/issues/8" TargetMode="External"/><Relationship Id="rId26" Type="http://schemas.openxmlformats.org/officeDocument/2006/relationships/hyperlink" Target="https://github.com/mangoooooo1/youtube-bias-feedback/issues/61" TargetMode="External"/><Relationship Id="rId47" Type="http://schemas.openxmlformats.org/officeDocument/2006/relationships/hyperlink" Target="https://github.com/mangoooooo1/youtube-bias-feedback/issues/38" TargetMode="External"/><Relationship Id="rId68" Type="http://schemas.openxmlformats.org/officeDocument/2006/relationships/hyperlink" Target="https://github.com/mangoooooo1/youtube-bias-feedback/issues/271" TargetMode="External"/><Relationship Id="rId89" Type="http://schemas.openxmlformats.org/officeDocument/2006/relationships/hyperlink" Target="https://github.com/mangoooooo1/youtube-bias-feedback/issues/180" TargetMode="External"/><Relationship Id="rId112" Type="http://schemas.openxmlformats.org/officeDocument/2006/relationships/hyperlink" Target="https://github.com/mangoooooo1/youtube-bias-feedback/issues/205" TargetMode="External"/><Relationship Id="rId133" Type="http://schemas.openxmlformats.org/officeDocument/2006/relationships/hyperlink" Target="https://github.com/mangoooooo1/youtube-bias-feedback/issues/253" TargetMode="External"/><Relationship Id="rId154" Type="http://schemas.openxmlformats.org/officeDocument/2006/relationships/hyperlink" Target="https://github.com/mangoooooo1/youtube-bias-feedback/issues/287" TargetMode="External"/><Relationship Id="rId16" Type="http://schemas.openxmlformats.org/officeDocument/2006/relationships/hyperlink" Target="https://github.com/mangoooooo1/youtube-bias-feedback/issues/14" TargetMode="External"/><Relationship Id="rId37" Type="http://schemas.openxmlformats.org/officeDocument/2006/relationships/hyperlink" Target="https://github.com/mangoooooo1/youtube-bias-feedback/issues/65" TargetMode="External"/><Relationship Id="rId58" Type="http://schemas.openxmlformats.org/officeDocument/2006/relationships/hyperlink" Target="https://github.com/mangoooooo1/youtube-bias-feedback/issues/95" TargetMode="External"/><Relationship Id="rId79" Type="http://schemas.openxmlformats.org/officeDocument/2006/relationships/hyperlink" Target="https://github.com/mangoooooo1/youtube-bias-feedback/issues/116" TargetMode="External"/><Relationship Id="rId102" Type="http://schemas.openxmlformats.org/officeDocument/2006/relationships/hyperlink" Target="https://github.com/mangoooooo1/youtube-bias-feedback/issues/154" TargetMode="External"/><Relationship Id="rId123" Type="http://schemas.openxmlformats.org/officeDocument/2006/relationships/hyperlink" Target="https://github.com/mangoooooo1/youtube-bias-feedback/issues/207" TargetMode="External"/><Relationship Id="rId144" Type="http://schemas.openxmlformats.org/officeDocument/2006/relationships/hyperlink" Target="https://github.com/mangoooooo1/youtube-bias-feedback/issues/169" TargetMode="External"/><Relationship Id="rId90" Type="http://schemas.openxmlformats.org/officeDocument/2006/relationships/hyperlink" Target="https://github.com/mangoooooo1/youtube-bias-feedback/issues/145" TargetMode="External"/><Relationship Id="rId27" Type="http://schemas.openxmlformats.org/officeDocument/2006/relationships/hyperlink" Target="https://github.com/mangoooooo1/youtube-bias-feedback/issues/22" TargetMode="External"/><Relationship Id="rId48" Type="http://schemas.openxmlformats.org/officeDocument/2006/relationships/hyperlink" Target="https://github.com/mangoooooo1/youtube-bias-feedback/issues/69" TargetMode="External"/><Relationship Id="rId69" Type="http://schemas.openxmlformats.org/officeDocument/2006/relationships/hyperlink" Target="https://github.com/mangoooooo1/youtube-bias-feedback/issues/50" TargetMode="External"/><Relationship Id="rId113" Type="http://schemas.openxmlformats.org/officeDocument/2006/relationships/hyperlink" Target="https://github.com/mangoooooo1/youtube-bias-feedback/issues/206" TargetMode="External"/><Relationship Id="rId134" Type="http://schemas.openxmlformats.org/officeDocument/2006/relationships/hyperlink" Target="https://github.com/mangoooooo1/youtube-bias-feedback/issues/254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angoooooo1/youtube-bias-feedback/issues/269" TargetMode="External"/><Relationship Id="rId2" Type="http://schemas.openxmlformats.org/officeDocument/2006/relationships/hyperlink" Target="https://github.com/mangoooooo1/youtube-bias-feedback/issues/115" TargetMode="External"/><Relationship Id="rId1" Type="http://schemas.openxmlformats.org/officeDocument/2006/relationships/hyperlink" Target="https://github.com/mangoooooo1/youtube-bias-feedback/issues/75" TargetMode="External"/><Relationship Id="rId5" Type="http://schemas.openxmlformats.org/officeDocument/2006/relationships/hyperlink" Target="https://github.com/mangoooooo1/youtube-bias-feedback/issues/97" TargetMode="External"/><Relationship Id="rId4" Type="http://schemas.openxmlformats.org/officeDocument/2006/relationships/hyperlink" Target="https://github.com/mangoooooo1/youtube-bias-feedback/issues/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0"/>
  <sheetViews>
    <sheetView tabSelected="1" topLeftCell="F1" zoomScaleNormal="100" workbookViewId="0">
      <pane ySplit="1" topLeftCell="A138" activePane="bottomLeft" state="frozen"/>
      <selection pane="bottomLeft" activeCell="L163" sqref="L163"/>
    </sheetView>
  </sheetViews>
  <sheetFormatPr defaultColWidth="8.6640625" defaultRowHeight="14.25" outlineLevelRow="2"/>
  <cols>
    <col min="1" max="1" width="6" customWidth="1"/>
    <col min="2" max="2" width="9" customWidth="1"/>
    <col min="3" max="3" width="12" customWidth="1"/>
    <col min="4" max="4" width="6" customWidth="1"/>
    <col min="5" max="6" width="8" customWidth="1"/>
    <col min="7" max="7" width="78" customWidth="1"/>
    <col min="8" max="8" width="9" customWidth="1"/>
    <col min="9" max="9" width="12" customWidth="1"/>
    <col min="10" max="11" width="8" customWidth="1"/>
  </cols>
  <sheetData>
    <row r="1" spans="1:11" ht="21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3">
        <v>1</v>
      </c>
      <c r="B2" s="4" t="s">
        <v>12</v>
      </c>
      <c r="C2" s="4"/>
      <c r="D2" s="3">
        <v>1</v>
      </c>
      <c r="E2" s="5" t="s">
        <v>1</v>
      </c>
      <c r="F2" s="3">
        <v>1</v>
      </c>
      <c r="G2" s="6" t="s">
        <v>13</v>
      </c>
      <c r="H2" s="7" t="s">
        <v>14</v>
      </c>
      <c r="I2" s="4"/>
      <c r="J2" s="3"/>
      <c r="K2" s="8" t="s">
        <v>15</v>
      </c>
    </row>
    <row r="3" spans="1:11" outlineLevel="1">
      <c r="A3" s="9">
        <v>2</v>
      </c>
      <c r="B3" s="10" t="s">
        <v>12</v>
      </c>
      <c r="C3" s="10" t="s">
        <v>16</v>
      </c>
      <c r="D3" s="9">
        <v>2</v>
      </c>
      <c r="E3" s="11" t="s">
        <v>2</v>
      </c>
      <c r="F3" s="9">
        <v>2</v>
      </c>
      <c r="G3" s="12" t="s">
        <v>17</v>
      </c>
      <c r="H3" s="13" t="s">
        <v>14</v>
      </c>
      <c r="I3" s="10"/>
      <c r="J3" s="9">
        <v>1</v>
      </c>
      <c r="K3" s="14" t="s">
        <v>18</v>
      </c>
    </row>
    <row r="4" spans="1:11" outlineLevel="2">
      <c r="A4" s="15">
        <v>3</v>
      </c>
      <c r="B4" s="16" t="s">
        <v>12</v>
      </c>
      <c r="C4" s="16" t="s">
        <v>16</v>
      </c>
      <c r="D4" s="15">
        <v>3</v>
      </c>
      <c r="E4" s="17" t="s">
        <v>19</v>
      </c>
      <c r="F4" s="15">
        <v>3</v>
      </c>
      <c r="G4" s="18" t="s">
        <v>20</v>
      </c>
      <c r="H4" s="19" t="s">
        <v>14</v>
      </c>
      <c r="I4" s="16"/>
      <c r="J4" s="15">
        <v>2</v>
      </c>
      <c r="K4" s="20" t="s">
        <v>21</v>
      </c>
    </row>
    <row r="5" spans="1:11" outlineLevel="2">
      <c r="A5" s="15">
        <v>4</v>
      </c>
      <c r="B5" s="16" t="s">
        <v>12</v>
      </c>
      <c r="C5" s="16" t="s">
        <v>16</v>
      </c>
      <c r="D5" s="15">
        <v>3</v>
      </c>
      <c r="E5" s="17" t="s">
        <v>19</v>
      </c>
      <c r="F5" s="15">
        <v>4</v>
      </c>
      <c r="G5" s="18" t="s">
        <v>22</v>
      </c>
      <c r="H5" s="19" t="s">
        <v>14</v>
      </c>
      <c r="I5" s="16"/>
      <c r="J5" s="15">
        <v>2</v>
      </c>
      <c r="K5" s="20" t="s">
        <v>23</v>
      </c>
    </row>
    <row r="6" spans="1:11" outlineLevel="2">
      <c r="A6" s="15">
        <v>5</v>
      </c>
      <c r="B6" s="16" t="s">
        <v>12</v>
      </c>
      <c r="C6" s="16" t="s">
        <v>16</v>
      </c>
      <c r="D6" s="15">
        <v>3</v>
      </c>
      <c r="E6" s="17" t="s">
        <v>19</v>
      </c>
      <c r="F6" s="15">
        <v>5</v>
      </c>
      <c r="G6" s="18" t="s">
        <v>24</v>
      </c>
      <c r="H6" s="19" t="s">
        <v>14</v>
      </c>
      <c r="I6" s="16"/>
      <c r="J6" s="15">
        <v>2</v>
      </c>
      <c r="K6" s="20" t="s">
        <v>25</v>
      </c>
    </row>
    <row r="7" spans="1:11" outlineLevel="2">
      <c r="A7" s="15">
        <v>6</v>
      </c>
      <c r="B7" s="16" t="s">
        <v>12</v>
      </c>
      <c r="C7" s="16" t="s">
        <v>16</v>
      </c>
      <c r="D7" s="15">
        <v>3</v>
      </c>
      <c r="E7" s="17" t="s">
        <v>19</v>
      </c>
      <c r="F7" s="15">
        <v>6</v>
      </c>
      <c r="G7" s="18" t="s">
        <v>26</v>
      </c>
      <c r="H7" s="19" t="s">
        <v>14</v>
      </c>
      <c r="I7" s="16"/>
      <c r="J7" s="15">
        <v>2</v>
      </c>
      <c r="K7" s="20" t="s">
        <v>27</v>
      </c>
    </row>
    <row r="8" spans="1:11" outlineLevel="2">
      <c r="A8" s="15">
        <v>7</v>
      </c>
      <c r="B8" s="16" t="s">
        <v>12</v>
      </c>
      <c r="C8" s="16" t="s">
        <v>16</v>
      </c>
      <c r="D8" s="15">
        <v>3</v>
      </c>
      <c r="E8" s="17" t="s">
        <v>19</v>
      </c>
      <c r="F8" s="15">
        <v>7</v>
      </c>
      <c r="G8" s="21" t="s">
        <v>28</v>
      </c>
      <c r="H8" s="19" t="s">
        <v>14</v>
      </c>
      <c r="I8" s="16"/>
      <c r="J8" s="15">
        <v>2</v>
      </c>
      <c r="K8" s="20" t="s">
        <v>29</v>
      </c>
    </row>
    <row r="9" spans="1:11" outlineLevel="2">
      <c r="A9" s="15">
        <v>8</v>
      </c>
      <c r="B9" s="16" t="s">
        <v>12</v>
      </c>
      <c r="C9" s="16" t="s">
        <v>16</v>
      </c>
      <c r="D9" s="15">
        <v>3</v>
      </c>
      <c r="E9" s="17" t="s">
        <v>19</v>
      </c>
      <c r="F9" s="15">
        <v>55</v>
      </c>
      <c r="G9" s="18" t="s">
        <v>30</v>
      </c>
      <c r="H9" s="19" t="s">
        <v>14</v>
      </c>
      <c r="I9" s="16" t="s">
        <v>31</v>
      </c>
      <c r="J9" s="15">
        <v>2</v>
      </c>
      <c r="K9" s="20" t="s">
        <v>32</v>
      </c>
    </row>
    <row r="10" spans="1:11" outlineLevel="1">
      <c r="A10" s="9">
        <v>9</v>
      </c>
      <c r="B10" s="10" t="s">
        <v>12</v>
      </c>
      <c r="C10" s="10" t="s">
        <v>33</v>
      </c>
      <c r="D10" s="9">
        <v>2</v>
      </c>
      <c r="E10" s="11" t="s">
        <v>2</v>
      </c>
      <c r="F10" s="9">
        <v>8</v>
      </c>
      <c r="G10" s="12" t="s">
        <v>34</v>
      </c>
      <c r="H10" s="13" t="s">
        <v>14</v>
      </c>
      <c r="I10" s="10"/>
      <c r="J10" s="9">
        <v>1</v>
      </c>
      <c r="K10" s="14" t="s">
        <v>35</v>
      </c>
    </row>
    <row r="11" spans="1:11" outlineLevel="2">
      <c r="A11" s="15">
        <v>10</v>
      </c>
      <c r="B11" s="16" t="s">
        <v>12</v>
      </c>
      <c r="C11" s="16" t="s">
        <v>33</v>
      </c>
      <c r="D11" s="15">
        <v>3</v>
      </c>
      <c r="E11" s="17" t="s">
        <v>19</v>
      </c>
      <c r="F11" s="15">
        <v>9</v>
      </c>
      <c r="G11" s="18" t="s">
        <v>36</v>
      </c>
      <c r="H11" s="19" t="s">
        <v>14</v>
      </c>
      <c r="I11" s="16"/>
      <c r="J11" s="15">
        <v>8</v>
      </c>
      <c r="K11" s="20" t="s">
        <v>37</v>
      </c>
    </row>
    <row r="12" spans="1:11" outlineLevel="2">
      <c r="A12" s="15">
        <v>11</v>
      </c>
      <c r="B12" s="16" t="s">
        <v>12</v>
      </c>
      <c r="C12" s="16" t="s">
        <v>33</v>
      </c>
      <c r="D12" s="15">
        <v>3</v>
      </c>
      <c r="E12" s="17" t="s">
        <v>19</v>
      </c>
      <c r="F12" s="15">
        <v>10</v>
      </c>
      <c r="G12" s="21" t="s">
        <v>38</v>
      </c>
      <c r="H12" s="19" t="s">
        <v>14</v>
      </c>
      <c r="I12" s="16"/>
      <c r="J12" s="15">
        <v>8</v>
      </c>
      <c r="K12" s="20" t="s">
        <v>39</v>
      </c>
    </row>
    <row r="13" spans="1:11" outlineLevel="2">
      <c r="A13" s="15">
        <v>12</v>
      </c>
      <c r="B13" s="16" t="s">
        <v>12</v>
      </c>
      <c r="C13" s="16" t="s">
        <v>33</v>
      </c>
      <c r="D13" s="15">
        <v>3</v>
      </c>
      <c r="E13" s="17" t="s">
        <v>19</v>
      </c>
      <c r="F13" s="15">
        <v>11</v>
      </c>
      <c r="G13" s="21" t="s">
        <v>40</v>
      </c>
      <c r="H13" s="19" t="s">
        <v>14</v>
      </c>
      <c r="I13" s="16"/>
      <c r="J13" s="15">
        <v>8</v>
      </c>
      <c r="K13" s="20" t="s">
        <v>41</v>
      </c>
    </row>
    <row r="14" spans="1:11" outlineLevel="2">
      <c r="A14" s="15">
        <v>13</v>
      </c>
      <c r="B14" s="16" t="s">
        <v>12</v>
      </c>
      <c r="C14" s="16" t="s">
        <v>33</v>
      </c>
      <c r="D14" s="15">
        <v>3</v>
      </c>
      <c r="E14" s="17" t="s">
        <v>19</v>
      </c>
      <c r="F14" s="15">
        <v>57</v>
      </c>
      <c r="G14" s="18" t="s">
        <v>42</v>
      </c>
      <c r="H14" s="19" t="s">
        <v>14</v>
      </c>
      <c r="I14" s="16" t="s">
        <v>43</v>
      </c>
      <c r="J14" s="15">
        <v>8</v>
      </c>
      <c r="K14" s="20" t="s">
        <v>44</v>
      </c>
    </row>
    <row r="15" spans="1:11">
      <c r="A15" s="3">
        <v>14</v>
      </c>
      <c r="B15" s="4" t="s">
        <v>45</v>
      </c>
      <c r="C15" s="4"/>
      <c r="D15" s="3">
        <v>1</v>
      </c>
      <c r="E15" s="5" t="s">
        <v>1</v>
      </c>
      <c r="F15" s="3">
        <v>12</v>
      </c>
      <c r="G15" s="6" t="s">
        <v>46</v>
      </c>
      <c r="H15" s="7" t="s">
        <v>14</v>
      </c>
      <c r="I15" s="4"/>
      <c r="J15" s="3"/>
      <c r="K15" s="8" t="s">
        <v>47</v>
      </c>
    </row>
    <row r="16" spans="1:11" outlineLevel="1">
      <c r="A16" s="9">
        <v>15</v>
      </c>
      <c r="B16" s="10" t="s">
        <v>45</v>
      </c>
      <c r="C16" s="10" t="s">
        <v>48</v>
      </c>
      <c r="D16" s="9">
        <v>2</v>
      </c>
      <c r="E16" s="11" t="s">
        <v>2</v>
      </c>
      <c r="F16" s="9">
        <v>13</v>
      </c>
      <c r="G16" s="12" t="s">
        <v>49</v>
      </c>
      <c r="H16" s="13" t="s">
        <v>14</v>
      </c>
      <c r="I16" s="10"/>
      <c r="J16" s="9">
        <v>12</v>
      </c>
      <c r="K16" s="14" t="s">
        <v>50</v>
      </c>
    </row>
    <row r="17" spans="1:11" outlineLevel="2">
      <c r="A17" s="15">
        <v>16</v>
      </c>
      <c r="B17" s="16" t="s">
        <v>45</v>
      </c>
      <c r="C17" s="16" t="s">
        <v>48</v>
      </c>
      <c r="D17" s="15">
        <v>3</v>
      </c>
      <c r="E17" s="17" t="s">
        <v>19</v>
      </c>
      <c r="F17" s="15">
        <v>14</v>
      </c>
      <c r="G17" s="21" t="s">
        <v>51</v>
      </c>
      <c r="H17" s="19" t="s">
        <v>14</v>
      </c>
      <c r="I17" s="16"/>
      <c r="J17" s="15">
        <v>13</v>
      </c>
      <c r="K17" s="20" t="s">
        <v>52</v>
      </c>
    </row>
    <row r="18" spans="1:11" outlineLevel="2">
      <c r="A18" s="15">
        <v>17</v>
      </c>
      <c r="B18" s="16" t="s">
        <v>45</v>
      </c>
      <c r="C18" s="16" t="s">
        <v>48</v>
      </c>
      <c r="D18" s="15">
        <v>3</v>
      </c>
      <c r="E18" s="17" t="s">
        <v>19</v>
      </c>
      <c r="F18" s="15">
        <v>15</v>
      </c>
      <c r="G18" s="18" t="s">
        <v>53</v>
      </c>
      <c r="H18" s="19" t="s">
        <v>14</v>
      </c>
      <c r="I18" s="16"/>
      <c r="J18" s="15">
        <v>13</v>
      </c>
      <c r="K18" s="20" t="s">
        <v>54</v>
      </c>
    </row>
    <row r="19" spans="1:11" outlineLevel="2">
      <c r="A19" s="15">
        <v>18</v>
      </c>
      <c r="B19" s="16" t="s">
        <v>45</v>
      </c>
      <c r="C19" s="16" t="s">
        <v>48</v>
      </c>
      <c r="D19" s="15">
        <v>3</v>
      </c>
      <c r="E19" s="17" t="s">
        <v>19</v>
      </c>
      <c r="F19" s="15">
        <v>16</v>
      </c>
      <c r="G19" s="21" t="s">
        <v>55</v>
      </c>
      <c r="H19" s="19" t="s">
        <v>14</v>
      </c>
      <c r="I19" s="16"/>
      <c r="J19" s="15">
        <v>13</v>
      </c>
      <c r="K19" s="20" t="s">
        <v>56</v>
      </c>
    </row>
    <row r="20" spans="1:11" outlineLevel="2">
      <c r="A20" s="15">
        <v>19</v>
      </c>
      <c r="B20" s="16" t="s">
        <v>45</v>
      </c>
      <c r="C20" s="16" t="s">
        <v>48</v>
      </c>
      <c r="D20" s="15">
        <v>3</v>
      </c>
      <c r="E20" s="17" t="s">
        <v>19</v>
      </c>
      <c r="F20" s="15">
        <v>59</v>
      </c>
      <c r="G20" s="18" t="s">
        <v>57</v>
      </c>
      <c r="H20" s="19" t="s">
        <v>14</v>
      </c>
      <c r="I20" s="16" t="s">
        <v>58</v>
      </c>
      <c r="J20" s="15">
        <v>13</v>
      </c>
      <c r="K20" s="20" t="s">
        <v>59</v>
      </c>
    </row>
    <row r="21" spans="1:11" outlineLevel="2">
      <c r="A21" s="15">
        <v>20</v>
      </c>
      <c r="B21" s="16" t="s">
        <v>45</v>
      </c>
      <c r="C21" s="16" t="s">
        <v>48</v>
      </c>
      <c r="D21" s="15">
        <v>3</v>
      </c>
      <c r="E21" s="22" t="s">
        <v>60</v>
      </c>
      <c r="F21" s="15">
        <v>93</v>
      </c>
      <c r="G21" s="18" t="s">
        <v>61</v>
      </c>
      <c r="H21" s="19" t="s">
        <v>14</v>
      </c>
      <c r="I21" s="16" t="s">
        <v>62</v>
      </c>
      <c r="J21" s="15">
        <v>13</v>
      </c>
      <c r="K21" s="20" t="s">
        <v>63</v>
      </c>
    </row>
    <row r="22" spans="1:11" outlineLevel="1">
      <c r="A22" s="9">
        <v>21</v>
      </c>
      <c r="B22" s="10" t="s">
        <v>45</v>
      </c>
      <c r="C22" s="10" t="s">
        <v>64</v>
      </c>
      <c r="D22" s="9">
        <v>2</v>
      </c>
      <c r="E22" s="11" t="s">
        <v>2</v>
      </c>
      <c r="F22" s="9">
        <v>17</v>
      </c>
      <c r="G22" s="12" t="s">
        <v>65</v>
      </c>
      <c r="H22" s="13" t="s">
        <v>14</v>
      </c>
      <c r="I22" s="10"/>
      <c r="J22" s="9">
        <v>12</v>
      </c>
      <c r="K22" s="14" t="s">
        <v>66</v>
      </c>
    </row>
    <row r="23" spans="1:11" outlineLevel="2">
      <c r="A23" s="15">
        <v>22</v>
      </c>
      <c r="B23" s="16" t="s">
        <v>45</v>
      </c>
      <c r="C23" s="16" t="s">
        <v>64</v>
      </c>
      <c r="D23" s="15">
        <v>3</v>
      </c>
      <c r="E23" s="17" t="s">
        <v>19</v>
      </c>
      <c r="F23" s="15">
        <v>18</v>
      </c>
      <c r="G23" s="18" t="s">
        <v>67</v>
      </c>
      <c r="H23" s="19" t="s">
        <v>14</v>
      </c>
      <c r="I23" s="16"/>
      <c r="J23" s="15">
        <v>17</v>
      </c>
      <c r="K23" s="20" t="s">
        <v>68</v>
      </c>
    </row>
    <row r="24" spans="1:11" outlineLevel="2">
      <c r="A24" s="15">
        <v>23</v>
      </c>
      <c r="B24" s="16" t="s">
        <v>45</v>
      </c>
      <c r="C24" s="16" t="s">
        <v>64</v>
      </c>
      <c r="D24" s="15">
        <v>3</v>
      </c>
      <c r="E24" s="17" t="s">
        <v>19</v>
      </c>
      <c r="F24" s="15">
        <v>19</v>
      </c>
      <c r="G24" s="18" t="s">
        <v>69</v>
      </c>
      <c r="H24" s="19" t="s">
        <v>14</v>
      </c>
      <c r="I24" s="16"/>
      <c r="J24" s="15">
        <v>17</v>
      </c>
      <c r="K24" s="20" t="s">
        <v>70</v>
      </c>
    </row>
    <row r="25" spans="1:11" outlineLevel="2">
      <c r="A25" s="15">
        <v>24</v>
      </c>
      <c r="B25" s="16" t="s">
        <v>45</v>
      </c>
      <c r="C25" s="16" t="s">
        <v>64</v>
      </c>
      <c r="D25" s="15">
        <v>3</v>
      </c>
      <c r="E25" s="17" t="s">
        <v>19</v>
      </c>
      <c r="F25" s="15">
        <v>20</v>
      </c>
      <c r="G25" s="18" t="s">
        <v>71</v>
      </c>
      <c r="H25" s="19" t="s">
        <v>14</v>
      </c>
      <c r="I25" s="16"/>
      <c r="J25" s="15">
        <v>17</v>
      </c>
      <c r="K25" s="20" t="s">
        <v>72</v>
      </c>
    </row>
    <row r="26" spans="1:11" outlineLevel="2">
      <c r="A26" s="15">
        <v>25</v>
      </c>
      <c r="B26" s="16" t="s">
        <v>45</v>
      </c>
      <c r="C26" s="16" t="s">
        <v>64</v>
      </c>
      <c r="D26" s="15">
        <v>3</v>
      </c>
      <c r="E26" s="17" t="s">
        <v>19</v>
      </c>
      <c r="F26" s="15">
        <v>21</v>
      </c>
      <c r="G26" s="18" t="s">
        <v>73</v>
      </c>
      <c r="H26" s="19" t="s">
        <v>14</v>
      </c>
      <c r="I26" s="16"/>
      <c r="J26" s="15">
        <v>17</v>
      </c>
      <c r="K26" s="20" t="s">
        <v>74</v>
      </c>
    </row>
    <row r="27" spans="1:11" outlineLevel="2">
      <c r="A27" s="15">
        <v>26</v>
      </c>
      <c r="B27" s="16" t="s">
        <v>45</v>
      </c>
      <c r="C27" s="16" t="s">
        <v>64</v>
      </c>
      <c r="D27" s="15">
        <v>3</v>
      </c>
      <c r="E27" s="17" t="s">
        <v>19</v>
      </c>
      <c r="F27" s="15">
        <v>61</v>
      </c>
      <c r="G27" s="18" t="s">
        <v>75</v>
      </c>
      <c r="H27" s="19" t="s">
        <v>14</v>
      </c>
      <c r="I27" s="16" t="s">
        <v>76</v>
      </c>
      <c r="J27" s="15">
        <v>17</v>
      </c>
      <c r="K27" s="20" t="s">
        <v>77</v>
      </c>
    </row>
    <row r="28" spans="1:11" outlineLevel="1">
      <c r="A28" s="9">
        <v>27</v>
      </c>
      <c r="B28" s="10" t="s">
        <v>45</v>
      </c>
      <c r="C28" s="10" t="s">
        <v>78</v>
      </c>
      <c r="D28" s="9">
        <v>2</v>
      </c>
      <c r="E28" s="11" t="s">
        <v>2</v>
      </c>
      <c r="F28" s="9">
        <v>22</v>
      </c>
      <c r="G28" s="12" t="s">
        <v>79</v>
      </c>
      <c r="H28" s="13" t="s">
        <v>14</v>
      </c>
      <c r="I28" s="10"/>
      <c r="J28" s="9">
        <v>12</v>
      </c>
      <c r="K28" s="14" t="s">
        <v>80</v>
      </c>
    </row>
    <row r="29" spans="1:11" outlineLevel="2">
      <c r="A29" s="15">
        <v>28</v>
      </c>
      <c r="B29" s="16" t="s">
        <v>45</v>
      </c>
      <c r="C29" s="16" t="s">
        <v>78</v>
      </c>
      <c r="D29" s="15">
        <v>3</v>
      </c>
      <c r="E29" s="17" t="s">
        <v>19</v>
      </c>
      <c r="F29" s="15">
        <v>23</v>
      </c>
      <c r="G29" s="21" t="s">
        <v>81</v>
      </c>
      <c r="H29" s="19" t="s">
        <v>14</v>
      </c>
      <c r="I29" s="16"/>
      <c r="J29" s="15">
        <v>22</v>
      </c>
      <c r="K29" s="20" t="s">
        <v>82</v>
      </c>
    </row>
    <row r="30" spans="1:11" outlineLevel="2">
      <c r="A30" s="15">
        <v>29</v>
      </c>
      <c r="B30" s="16" t="s">
        <v>45</v>
      </c>
      <c r="C30" s="16" t="s">
        <v>78</v>
      </c>
      <c r="D30" s="15">
        <v>3</v>
      </c>
      <c r="E30" s="17" t="s">
        <v>19</v>
      </c>
      <c r="F30" s="15">
        <v>24</v>
      </c>
      <c r="G30" s="18" t="s">
        <v>83</v>
      </c>
      <c r="H30" s="19" t="s">
        <v>14</v>
      </c>
      <c r="I30" s="16"/>
      <c r="J30" s="15">
        <v>22</v>
      </c>
      <c r="K30" s="20" t="s">
        <v>84</v>
      </c>
    </row>
    <row r="31" spans="1:11" outlineLevel="2">
      <c r="A31" s="15">
        <v>30</v>
      </c>
      <c r="B31" s="16" t="s">
        <v>45</v>
      </c>
      <c r="C31" s="16" t="s">
        <v>78</v>
      </c>
      <c r="D31" s="15">
        <v>3</v>
      </c>
      <c r="E31" s="17" t="s">
        <v>19</v>
      </c>
      <c r="F31" s="15">
        <v>25</v>
      </c>
      <c r="G31" s="21" t="s">
        <v>85</v>
      </c>
      <c r="H31" s="19" t="s">
        <v>14</v>
      </c>
      <c r="I31" s="16"/>
      <c r="J31" s="15">
        <v>22</v>
      </c>
      <c r="K31" s="20" t="s">
        <v>86</v>
      </c>
    </row>
    <row r="32" spans="1:11" outlineLevel="2">
      <c r="A32" s="15">
        <v>31</v>
      </c>
      <c r="B32" s="16" t="s">
        <v>45</v>
      </c>
      <c r="C32" s="16" t="s">
        <v>78</v>
      </c>
      <c r="D32" s="15">
        <v>3</v>
      </c>
      <c r="E32" s="17" t="s">
        <v>19</v>
      </c>
      <c r="F32" s="15">
        <v>63</v>
      </c>
      <c r="G32" s="18" t="s">
        <v>87</v>
      </c>
      <c r="H32" s="19" t="s">
        <v>14</v>
      </c>
      <c r="I32" s="16" t="s">
        <v>88</v>
      </c>
      <c r="J32" s="15">
        <v>22</v>
      </c>
      <c r="K32" s="20" t="s">
        <v>89</v>
      </c>
    </row>
    <row r="33" spans="1:11" outlineLevel="1">
      <c r="A33" s="9">
        <v>32</v>
      </c>
      <c r="B33" s="10" t="s">
        <v>45</v>
      </c>
      <c r="C33" s="10" t="s">
        <v>90</v>
      </c>
      <c r="D33" s="9">
        <v>2</v>
      </c>
      <c r="E33" s="11" t="s">
        <v>2</v>
      </c>
      <c r="F33" s="9">
        <v>26</v>
      </c>
      <c r="G33" s="12" t="s">
        <v>91</v>
      </c>
      <c r="H33" s="13" t="s">
        <v>14</v>
      </c>
      <c r="I33" s="10"/>
      <c r="J33" s="9">
        <v>12</v>
      </c>
      <c r="K33" s="14" t="s">
        <v>92</v>
      </c>
    </row>
    <row r="34" spans="1:11" outlineLevel="2">
      <c r="A34" s="15">
        <v>33</v>
      </c>
      <c r="B34" s="16" t="s">
        <v>45</v>
      </c>
      <c r="C34" s="16" t="s">
        <v>90</v>
      </c>
      <c r="D34" s="15">
        <v>3</v>
      </c>
      <c r="E34" s="17" t="s">
        <v>19</v>
      </c>
      <c r="F34" s="15">
        <v>27</v>
      </c>
      <c r="G34" s="18" t="s">
        <v>93</v>
      </c>
      <c r="H34" s="19" t="s">
        <v>14</v>
      </c>
      <c r="I34" s="16"/>
      <c r="J34" s="15">
        <v>26</v>
      </c>
      <c r="K34" s="20" t="s">
        <v>94</v>
      </c>
    </row>
    <row r="35" spans="1:11" outlineLevel="2">
      <c r="A35" s="15">
        <v>34</v>
      </c>
      <c r="B35" s="16" t="s">
        <v>45</v>
      </c>
      <c r="C35" s="16" t="s">
        <v>90</v>
      </c>
      <c r="D35" s="15">
        <v>3</v>
      </c>
      <c r="E35" s="17" t="s">
        <v>19</v>
      </c>
      <c r="F35" s="15">
        <v>28</v>
      </c>
      <c r="G35" s="21" t="s">
        <v>95</v>
      </c>
      <c r="H35" s="19" t="s">
        <v>14</v>
      </c>
      <c r="I35" s="16"/>
      <c r="J35" s="15">
        <v>26</v>
      </c>
      <c r="K35" s="20" t="s">
        <v>96</v>
      </c>
    </row>
    <row r="36" spans="1:11" outlineLevel="2">
      <c r="A36" s="15">
        <v>35</v>
      </c>
      <c r="B36" s="16" t="s">
        <v>45</v>
      </c>
      <c r="C36" s="16" t="s">
        <v>90</v>
      </c>
      <c r="D36" s="15">
        <v>3</v>
      </c>
      <c r="E36" s="17" t="s">
        <v>19</v>
      </c>
      <c r="F36" s="15">
        <v>29</v>
      </c>
      <c r="G36" s="18" t="s">
        <v>97</v>
      </c>
      <c r="H36" s="19" t="s">
        <v>14</v>
      </c>
      <c r="I36" s="16"/>
      <c r="J36" s="15">
        <v>26</v>
      </c>
      <c r="K36" s="20" t="s">
        <v>98</v>
      </c>
    </row>
    <row r="37" spans="1:11" outlineLevel="2">
      <c r="A37" s="15">
        <v>36</v>
      </c>
      <c r="B37" s="16" t="s">
        <v>45</v>
      </c>
      <c r="C37" s="16" t="s">
        <v>90</v>
      </c>
      <c r="D37" s="15">
        <v>3</v>
      </c>
      <c r="E37" s="17" t="s">
        <v>19</v>
      </c>
      <c r="F37" s="15">
        <v>30</v>
      </c>
      <c r="G37" s="21" t="s">
        <v>99</v>
      </c>
      <c r="H37" s="19" t="s">
        <v>14</v>
      </c>
      <c r="I37" s="16"/>
      <c r="J37" s="15">
        <v>26</v>
      </c>
      <c r="K37" s="20" t="s">
        <v>100</v>
      </c>
    </row>
    <row r="38" spans="1:11" outlineLevel="2">
      <c r="A38" s="15">
        <v>37</v>
      </c>
      <c r="B38" s="16" t="s">
        <v>45</v>
      </c>
      <c r="C38" s="16" t="s">
        <v>90</v>
      </c>
      <c r="D38" s="15">
        <v>3</v>
      </c>
      <c r="E38" s="17" t="s">
        <v>19</v>
      </c>
      <c r="F38" s="15">
        <v>65</v>
      </c>
      <c r="G38" s="18" t="s">
        <v>101</v>
      </c>
      <c r="H38" s="19" t="s">
        <v>14</v>
      </c>
      <c r="I38" s="16" t="s">
        <v>102</v>
      </c>
      <c r="J38" s="15">
        <v>26</v>
      </c>
      <c r="K38" s="20" t="s">
        <v>103</v>
      </c>
    </row>
    <row r="39" spans="1:11" outlineLevel="2">
      <c r="A39" s="15">
        <v>38</v>
      </c>
      <c r="B39" s="16" t="s">
        <v>45</v>
      </c>
      <c r="C39" s="16" t="s">
        <v>90</v>
      </c>
      <c r="D39" s="15">
        <v>3</v>
      </c>
      <c r="E39" s="17" t="s">
        <v>19</v>
      </c>
      <c r="F39" s="15">
        <v>102</v>
      </c>
      <c r="G39" s="18" t="s">
        <v>104</v>
      </c>
      <c r="H39" s="19" t="s">
        <v>14</v>
      </c>
      <c r="I39" s="16" t="s">
        <v>105</v>
      </c>
      <c r="J39" s="15">
        <v>26</v>
      </c>
      <c r="K39" s="20" t="s">
        <v>106</v>
      </c>
    </row>
    <row r="40" spans="1:11">
      <c r="A40" s="3">
        <v>39</v>
      </c>
      <c r="B40" s="4" t="s">
        <v>107</v>
      </c>
      <c r="C40" s="4"/>
      <c r="D40" s="3">
        <v>1</v>
      </c>
      <c r="E40" s="5" t="s">
        <v>1</v>
      </c>
      <c r="F40" s="3">
        <v>31</v>
      </c>
      <c r="G40" s="6" t="s">
        <v>108</v>
      </c>
      <c r="H40" s="7" t="s">
        <v>14</v>
      </c>
      <c r="I40" s="4"/>
      <c r="J40" s="3"/>
      <c r="K40" s="8" t="s">
        <v>109</v>
      </c>
    </row>
    <row r="41" spans="1:11" outlineLevel="1">
      <c r="A41" s="9">
        <v>40</v>
      </c>
      <c r="B41" s="10" t="s">
        <v>107</v>
      </c>
      <c r="C41" s="10" t="s">
        <v>110</v>
      </c>
      <c r="D41" s="9">
        <v>2</v>
      </c>
      <c r="E41" s="11" t="s">
        <v>2</v>
      </c>
      <c r="F41" s="9">
        <v>32</v>
      </c>
      <c r="G41" s="12" t="s">
        <v>111</v>
      </c>
      <c r="H41" s="13" t="s">
        <v>14</v>
      </c>
      <c r="I41" s="10"/>
      <c r="J41" s="9">
        <v>31</v>
      </c>
      <c r="K41" s="14" t="s">
        <v>112</v>
      </c>
    </row>
    <row r="42" spans="1:11" outlineLevel="2">
      <c r="A42" s="15">
        <v>41</v>
      </c>
      <c r="B42" s="16" t="s">
        <v>107</v>
      </c>
      <c r="C42" s="16" t="s">
        <v>110</v>
      </c>
      <c r="D42" s="15">
        <v>3</v>
      </c>
      <c r="E42" s="17" t="s">
        <v>19</v>
      </c>
      <c r="F42" s="15">
        <v>33</v>
      </c>
      <c r="G42" s="18" t="s">
        <v>113</v>
      </c>
      <c r="H42" s="19" t="s">
        <v>14</v>
      </c>
      <c r="I42" s="16"/>
      <c r="J42" s="15">
        <v>32</v>
      </c>
      <c r="K42" s="20" t="s">
        <v>114</v>
      </c>
    </row>
    <row r="43" spans="1:11" outlineLevel="2">
      <c r="A43" s="15">
        <v>42</v>
      </c>
      <c r="B43" s="16" t="s">
        <v>107</v>
      </c>
      <c r="C43" s="16" t="s">
        <v>110</v>
      </c>
      <c r="D43" s="15">
        <v>3</v>
      </c>
      <c r="E43" s="17" t="s">
        <v>19</v>
      </c>
      <c r="F43" s="15">
        <v>34</v>
      </c>
      <c r="G43" s="21" t="s">
        <v>115</v>
      </c>
      <c r="H43" s="19" t="s">
        <v>14</v>
      </c>
      <c r="I43" s="16"/>
      <c r="J43" s="15">
        <v>32</v>
      </c>
      <c r="K43" s="20" t="s">
        <v>116</v>
      </c>
    </row>
    <row r="44" spans="1:11" outlineLevel="2">
      <c r="A44" s="15">
        <v>43</v>
      </c>
      <c r="B44" s="16" t="s">
        <v>107</v>
      </c>
      <c r="C44" s="16" t="s">
        <v>110</v>
      </c>
      <c r="D44" s="15">
        <v>3</v>
      </c>
      <c r="E44" s="17" t="s">
        <v>19</v>
      </c>
      <c r="F44" s="15">
        <v>35</v>
      </c>
      <c r="G44" s="21" t="s">
        <v>117</v>
      </c>
      <c r="H44" s="19" t="s">
        <v>14</v>
      </c>
      <c r="I44" s="16"/>
      <c r="J44" s="15">
        <v>32</v>
      </c>
      <c r="K44" s="20" t="s">
        <v>118</v>
      </c>
    </row>
    <row r="45" spans="1:11" outlineLevel="2">
      <c r="A45" s="15">
        <v>44</v>
      </c>
      <c r="B45" s="16" t="s">
        <v>107</v>
      </c>
      <c r="C45" s="16" t="s">
        <v>110</v>
      </c>
      <c r="D45" s="15">
        <v>3</v>
      </c>
      <c r="E45" s="17" t="s">
        <v>19</v>
      </c>
      <c r="F45" s="15">
        <v>67</v>
      </c>
      <c r="G45" s="18" t="s">
        <v>119</v>
      </c>
      <c r="H45" s="19" t="s">
        <v>14</v>
      </c>
      <c r="I45" s="16" t="s">
        <v>120</v>
      </c>
      <c r="J45" s="15">
        <v>32</v>
      </c>
      <c r="K45" s="20" t="s">
        <v>121</v>
      </c>
    </row>
    <row r="46" spans="1:11" outlineLevel="1">
      <c r="A46" s="9">
        <v>45</v>
      </c>
      <c r="B46" s="10" t="s">
        <v>107</v>
      </c>
      <c r="C46" s="10" t="s">
        <v>122</v>
      </c>
      <c r="D46" s="9">
        <v>2</v>
      </c>
      <c r="E46" s="11" t="s">
        <v>2</v>
      </c>
      <c r="F46" s="9">
        <v>36</v>
      </c>
      <c r="G46" s="12" t="s">
        <v>123</v>
      </c>
      <c r="H46" s="13" t="s">
        <v>14</v>
      </c>
      <c r="I46" s="10"/>
      <c r="J46" s="9">
        <v>31</v>
      </c>
      <c r="K46" s="14" t="s">
        <v>124</v>
      </c>
    </row>
    <row r="47" spans="1:11" outlineLevel="2">
      <c r="A47" s="15">
        <v>46</v>
      </c>
      <c r="B47" s="16" t="s">
        <v>107</v>
      </c>
      <c r="C47" s="16" t="s">
        <v>122</v>
      </c>
      <c r="D47" s="15">
        <v>3</v>
      </c>
      <c r="E47" s="17" t="s">
        <v>19</v>
      </c>
      <c r="F47" s="15">
        <v>37</v>
      </c>
      <c r="G47" s="21" t="s">
        <v>125</v>
      </c>
      <c r="H47" s="19" t="s">
        <v>14</v>
      </c>
      <c r="I47" s="16"/>
      <c r="J47" s="15">
        <v>36</v>
      </c>
      <c r="K47" s="20" t="s">
        <v>126</v>
      </c>
    </row>
    <row r="48" spans="1:11" outlineLevel="2">
      <c r="A48" s="15">
        <v>47</v>
      </c>
      <c r="B48" s="16" t="s">
        <v>107</v>
      </c>
      <c r="C48" s="16" t="s">
        <v>122</v>
      </c>
      <c r="D48" s="15">
        <v>3</v>
      </c>
      <c r="E48" s="17" t="s">
        <v>19</v>
      </c>
      <c r="F48" s="15">
        <v>38</v>
      </c>
      <c r="G48" s="21" t="s">
        <v>127</v>
      </c>
      <c r="H48" s="19" t="s">
        <v>14</v>
      </c>
      <c r="I48" s="16"/>
      <c r="J48" s="15">
        <v>36</v>
      </c>
      <c r="K48" s="20" t="s">
        <v>128</v>
      </c>
    </row>
    <row r="49" spans="1:11" outlineLevel="2">
      <c r="A49" s="15">
        <v>48</v>
      </c>
      <c r="B49" s="16" t="s">
        <v>107</v>
      </c>
      <c r="C49" s="16" t="s">
        <v>122</v>
      </c>
      <c r="D49" s="15">
        <v>3</v>
      </c>
      <c r="E49" s="17" t="s">
        <v>19</v>
      </c>
      <c r="F49" s="15">
        <v>69</v>
      </c>
      <c r="G49" s="18" t="s">
        <v>129</v>
      </c>
      <c r="H49" s="19" t="s">
        <v>14</v>
      </c>
      <c r="I49" s="16" t="s">
        <v>130</v>
      </c>
      <c r="J49" s="15">
        <v>36</v>
      </c>
      <c r="K49" s="20" t="s">
        <v>131</v>
      </c>
    </row>
    <row r="50" spans="1:11" outlineLevel="1">
      <c r="A50" s="9">
        <v>49</v>
      </c>
      <c r="B50" s="10" t="s">
        <v>107</v>
      </c>
      <c r="C50" s="10" t="s">
        <v>132</v>
      </c>
      <c r="D50" s="9">
        <v>2</v>
      </c>
      <c r="E50" s="11" t="s">
        <v>2</v>
      </c>
      <c r="F50" s="9">
        <v>39</v>
      </c>
      <c r="G50" s="12" t="s">
        <v>133</v>
      </c>
      <c r="H50" s="13" t="s">
        <v>14</v>
      </c>
      <c r="I50" s="10"/>
      <c r="J50" s="9">
        <v>31</v>
      </c>
      <c r="K50" s="14" t="s">
        <v>134</v>
      </c>
    </row>
    <row r="51" spans="1:11" outlineLevel="2">
      <c r="A51" s="15">
        <v>50</v>
      </c>
      <c r="B51" s="16" t="s">
        <v>107</v>
      </c>
      <c r="C51" s="16" t="s">
        <v>132</v>
      </c>
      <c r="D51" s="15">
        <v>3</v>
      </c>
      <c r="E51" s="17" t="s">
        <v>19</v>
      </c>
      <c r="F51" s="15">
        <v>40</v>
      </c>
      <c r="G51" s="21" t="s">
        <v>135</v>
      </c>
      <c r="H51" s="19" t="s">
        <v>14</v>
      </c>
      <c r="I51" s="16"/>
      <c r="J51" s="15">
        <v>39</v>
      </c>
      <c r="K51" s="20" t="s">
        <v>136</v>
      </c>
    </row>
    <row r="52" spans="1:11" outlineLevel="2">
      <c r="A52" s="15">
        <v>51</v>
      </c>
      <c r="B52" s="16" t="s">
        <v>107</v>
      </c>
      <c r="C52" s="16" t="s">
        <v>132</v>
      </c>
      <c r="D52" s="15">
        <v>3</v>
      </c>
      <c r="E52" s="17" t="s">
        <v>19</v>
      </c>
      <c r="F52" s="15">
        <v>41</v>
      </c>
      <c r="G52" s="21" t="s">
        <v>137</v>
      </c>
      <c r="H52" s="19" t="s">
        <v>14</v>
      </c>
      <c r="I52" s="16"/>
      <c r="J52" s="15">
        <v>39</v>
      </c>
      <c r="K52" s="20" t="s">
        <v>138</v>
      </c>
    </row>
    <row r="53" spans="1:11" outlineLevel="2">
      <c r="A53" s="15">
        <v>52</v>
      </c>
      <c r="B53" s="16" t="s">
        <v>107</v>
      </c>
      <c r="C53" s="16" t="s">
        <v>132</v>
      </c>
      <c r="D53" s="15">
        <v>3</v>
      </c>
      <c r="E53" s="17" t="s">
        <v>19</v>
      </c>
      <c r="F53" s="15">
        <v>42</v>
      </c>
      <c r="G53" s="18" t="s">
        <v>139</v>
      </c>
      <c r="H53" s="19" t="s">
        <v>14</v>
      </c>
      <c r="I53" s="16"/>
      <c r="J53" s="15">
        <v>39</v>
      </c>
      <c r="K53" s="20" t="s">
        <v>140</v>
      </c>
    </row>
    <row r="54" spans="1:11" outlineLevel="2">
      <c r="A54" s="15">
        <v>53</v>
      </c>
      <c r="B54" s="16" t="s">
        <v>107</v>
      </c>
      <c r="C54" s="16" t="s">
        <v>132</v>
      </c>
      <c r="D54" s="15">
        <v>3</v>
      </c>
      <c r="E54" s="17" t="s">
        <v>19</v>
      </c>
      <c r="F54" s="15">
        <v>71</v>
      </c>
      <c r="G54" s="18" t="s">
        <v>141</v>
      </c>
      <c r="H54" s="19" t="s">
        <v>14</v>
      </c>
      <c r="I54" s="16" t="s">
        <v>142</v>
      </c>
      <c r="J54" s="15">
        <v>39</v>
      </c>
      <c r="K54" s="20" t="s">
        <v>143</v>
      </c>
    </row>
    <row r="55" spans="1:11" outlineLevel="1">
      <c r="A55" s="9">
        <v>54</v>
      </c>
      <c r="B55" s="10" t="s">
        <v>107</v>
      </c>
      <c r="C55" s="10" t="s">
        <v>144</v>
      </c>
      <c r="D55" s="9">
        <v>2</v>
      </c>
      <c r="E55" s="11" t="s">
        <v>2</v>
      </c>
      <c r="F55" s="9">
        <v>270</v>
      </c>
      <c r="G55" s="12" t="s">
        <v>145</v>
      </c>
      <c r="H55" s="23" t="s">
        <v>146</v>
      </c>
      <c r="I55" s="10"/>
      <c r="J55" s="9">
        <v>31</v>
      </c>
      <c r="K55" s="14" t="s">
        <v>147</v>
      </c>
    </row>
    <row r="56" spans="1:11" outlineLevel="2">
      <c r="A56" s="15">
        <v>55</v>
      </c>
      <c r="B56" s="16" t="s">
        <v>107</v>
      </c>
      <c r="C56" s="16" t="s">
        <v>144</v>
      </c>
      <c r="D56" s="15">
        <v>3</v>
      </c>
      <c r="E56" s="17" t="s">
        <v>19</v>
      </c>
      <c r="F56" s="15">
        <v>88</v>
      </c>
      <c r="G56" s="18" t="s">
        <v>148</v>
      </c>
      <c r="H56" s="19" t="s">
        <v>14</v>
      </c>
      <c r="I56" s="16" t="s">
        <v>149</v>
      </c>
      <c r="J56" s="15">
        <v>270</v>
      </c>
      <c r="K56" s="20" t="s">
        <v>150</v>
      </c>
    </row>
    <row r="57" spans="1:11" outlineLevel="1">
      <c r="A57" s="9">
        <v>56</v>
      </c>
      <c r="B57" s="10" t="s">
        <v>107</v>
      </c>
      <c r="C57" s="10" t="s">
        <v>151</v>
      </c>
      <c r="D57" s="9">
        <v>2</v>
      </c>
      <c r="E57" s="11" t="s">
        <v>2</v>
      </c>
      <c r="F57" s="9">
        <v>290</v>
      </c>
      <c r="G57" s="12" t="s">
        <v>152</v>
      </c>
      <c r="H57" s="23" t="s">
        <v>146</v>
      </c>
      <c r="I57" s="10"/>
      <c r="J57" s="9">
        <v>31</v>
      </c>
      <c r="K57" s="14" t="s">
        <v>153</v>
      </c>
    </row>
    <row r="58" spans="1:11" outlineLevel="2">
      <c r="A58" s="15">
        <v>57</v>
      </c>
      <c r="B58" s="16" t="s">
        <v>107</v>
      </c>
      <c r="C58" s="16" t="s">
        <v>151</v>
      </c>
      <c r="D58" s="15">
        <v>3</v>
      </c>
      <c r="E58" s="17" t="s">
        <v>19</v>
      </c>
      <c r="F58" s="15">
        <v>86</v>
      </c>
      <c r="G58" s="18" t="s">
        <v>154</v>
      </c>
      <c r="H58" s="19" t="s">
        <v>14</v>
      </c>
      <c r="I58" s="16" t="s">
        <v>155</v>
      </c>
      <c r="J58" s="15">
        <v>290</v>
      </c>
      <c r="K58" s="20" t="s">
        <v>156</v>
      </c>
    </row>
    <row r="59" spans="1:11" outlineLevel="2">
      <c r="A59" s="15">
        <v>58</v>
      </c>
      <c r="B59" s="16" t="s">
        <v>107</v>
      </c>
      <c r="C59" s="16" t="s">
        <v>151</v>
      </c>
      <c r="D59" s="15">
        <v>3</v>
      </c>
      <c r="E59" s="17" t="s">
        <v>19</v>
      </c>
      <c r="F59" s="15">
        <v>95</v>
      </c>
      <c r="G59" s="18" t="s">
        <v>157</v>
      </c>
      <c r="H59" s="19" t="s">
        <v>14</v>
      </c>
      <c r="I59" s="16" t="s">
        <v>158</v>
      </c>
      <c r="J59" s="15">
        <v>290</v>
      </c>
      <c r="K59" s="20" t="s">
        <v>159</v>
      </c>
    </row>
    <row r="60" spans="1:11">
      <c r="A60" s="3">
        <v>59</v>
      </c>
      <c r="B60" s="4" t="s">
        <v>160</v>
      </c>
      <c r="C60" s="4"/>
      <c r="D60" s="3">
        <v>1</v>
      </c>
      <c r="E60" s="5" t="s">
        <v>1</v>
      </c>
      <c r="F60" s="3">
        <v>43</v>
      </c>
      <c r="G60" s="6" t="s">
        <v>161</v>
      </c>
      <c r="H60" s="7" t="s">
        <v>14</v>
      </c>
      <c r="I60" s="4"/>
      <c r="J60" s="3"/>
      <c r="K60" s="8" t="s">
        <v>162</v>
      </c>
    </row>
    <row r="61" spans="1:11" outlineLevel="1">
      <c r="A61" s="9">
        <v>60</v>
      </c>
      <c r="B61" s="10" t="s">
        <v>160</v>
      </c>
      <c r="C61" s="10" t="s">
        <v>163</v>
      </c>
      <c r="D61" s="9">
        <v>2</v>
      </c>
      <c r="E61" s="11" t="s">
        <v>2</v>
      </c>
      <c r="F61" s="9">
        <v>44</v>
      </c>
      <c r="G61" s="12" t="s">
        <v>164</v>
      </c>
      <c r="H61" s="13" t="s">
        <v>14</v>
      </c>
      <c r="I61" s="10"/>
      <c r="J61" s="9">
        <v>43</v>
      </c>
      <c r="K61" s="14" t="s">
        <v>165</v>
      </c>
    </row>
    <row r="62" spans="1:11" outlineLevel="2">
      <c r="A62" s="15">
        <v>61</v>
      </c>
      <c r="B62" s="16" t="s">
        <v>160</v>
      </c>
      <c r="C62" s="16" t="s">
        <v>163</v>
      </c>
      <c r="D62" s="15">
        <v>3</v>
      </c>
      <c r="E62" s="17" t="s">
        <v>19</v>
      </c>
      <c r="F62" s="15">
        <v>45</v>
      </c>
      <c r="G62" s="18" t="s">
        <v>166</v>
      </c>
      <c r="H62" s="19" t="s">
        <v>14</v>
      </c>
      <c r="I62" s="16"/>
      <c r="J62" s="15">
        <v>44</v>
      </c>
      <c r="K62" s="20" t="s">
        <v>167</v>
      </c>
    </row>
    <row r="63" spans="1:11" outlineLevel="2">
      <c r="A63" s="15">
        <v>62</v>
      </c>
      <c r="B63" s="16" t="s">
        <v>160</v>
      </c>
      <c r="C63" s="16" t="s">
        <v>163</v>
      </c>
      <c r="D63" s="15">
        <v>3</v>
      </c>
      <c r="E63" s="17" t="s">
        <v>19</v>
      </c>
      <c r="F63" s="15">
        <v>46</v>
      </c>
      <c r="G63" s="18" t="s">
        <v>168</v>
      </c>
      <c r="H63" s="19" t="s">
        <v>14</v>
      </c>
      <c r="I63" s="16"/>
      <c r="J63" s="15">
        <v>44</v>
      </c>
      <c r="K63" s="20" t="s">
        <v>169</v>
      </c>
    </row>
    <row r="64" spans="1:11" outlineLevel="2">
      <c r="A64" s="15">
        <v>63</v>
      </c>
      <c r="B64" s="16" t="s">
        <v>160</v>
      </c>
      <c r="C64" s="16" t="s">
        <v>163</v>
      </c>
      <c r="D64" s="15">
        <v>3</v>
      </c>
      <c r="E64" s="17" t="s">
        <v>19</v>
      </c>
      <c r="F64" s="15">
        <v>47</v>
      </c>
      <c r="G64" s="18" t="s">
        <v>170</v>
      </c>
      <c r="H64" s="19" t="s">
        <v>14</v>
      </c>
      <c r="I64" s="16"/>
      <c r="J64" s="15">
        <v>44</v>
      </c>
      <c r="K64" s="20" t="s">
        <v>171</v>
      </c>
    </row>
    <row r="65" spans="1:11" outlineLevel="2">
      <c r="A65" s="15">
        <v>64</v>
      </c>
      <c r="B65" s="16" t="s">
        <v>160</v>
      </c>
      <c r="C65" s="16" t="s">
        <v>163</v>
      </c>
      <c r="D65" s="15">
        <v>3</v>
      </c>
      <c r="E65" s="17" t="s">
        <v>19</v>
      </c>
      <c r="F65" s="15">
        <v>48</v>
      </c>
      <c r="G65" s="18" t="s">
        <v>172</v>
      </c>
      <c r="H65" s="19" t="s">
        <v>14</v>
      </c>
      <c r="I65" s="16"/>
      <c r="J65" s="15">
        <v>44</v>
      </c>
      <c r="K65" s="20" t="s">
        <v>173</v>
      </c>
    </row>
    <row r="66" spans="1:11" outlineLevel="2">
      <c r="A66" s="15">
        <v>65</v>
      </c>
      <c r="B66" s="16" t="s">
        <v>160</v>
      </c>
      <c r="C66" s="16" t="s">
        <v>163</v>
      </c>
      <c r="D66" s="15">
        <v>3</v>
      </c>
      <c r="E66" s="17" t="s">
        <v>19</v>
      </c>
      <c r="F66" s="15">
        <v>73</v>
      </c>
      <c r="G66" s="18" t="s">
        <v>174</v>
      </c>
      <c r="H66" s="19" t="s">
        <v>14</v>
      </c>
      <c r="I66" s="16" t="s">
        <v>175</v>
      </c>
      <c r="J66" s="15">
        <v>44</v>
      </c>
      <c r="K66" s="20" t="s">
        <v>176</v>
      </c>
    </row>
    <row r="67" spans="1:11" outlineLevel="2">
      <c r="A67" s="15">
        <v>66</v>
      </c>
      <c r="B67" s="16" t="s">
        <v>160</v>
      </c>
      <c r="C67" s="16" t="s">
        <v>163</v>
      </c>
      <c r="D67" s="15">
        <v>3</v>
      </c>
      <c r="E67" s="17" t="s">
        <v>19</v>
      </c>
      <c r="F67" s="15">
        <v>89</v>
      </c>
      <c r="G67" s="18" t="s">
        <v>177</v>
      </c>
      <c r="H67" s="19" t="s">
        <v>14</v>
      </c>
      <c r="I67" s="16" t="s">
        <v>178</v>
      </c>
      <c r="J67" s="15">
        <v>44</v>
      </c>
      <c r="K67" s="20" t="s">
        <v>179</v>
      </c>
    </row>
    <row r="68" spans="1:11" outlineLevel="1">
      <c r="A68" s="9">
        <v>67</v>
      </c>
      <c r="B68" s="10" t="s">
        <v>160</v>
      </c>
      <c r="C68" s="10" t="s">
        <v>180</v>
      </c>
      <c r="D68" s="9">
        <v>2</v>
      </c>
      <c r="E68" s="11" t="s">
        <v>2</v>
      </c>
      <c r="F68" s="9">
        <v>49</v>
      </c>
      <c r="G68" s="12" t="s">
        <v>181</v>
      </c>
      <c r="H68" s="13" t="s">
        <v>14</v>
      </c>
      <c r="I68" s="10"/>
      <c r="J68" s="9">
        <v>43</v>
      </c>
      <c r="K68" s="14" t="s">
        <v>182</v>
      </c>
    </row>
    <row r="69" spans="1:11" outlineLevel="1">
      <c r="A69" s="9">
        <v>68</v>
      </c>
      <c r="B69" s="10" t="s">
        <v>160</v>
      </c>
      <c r="C69" s="10" t="s">
        <v>180</v>
      </c>
      <c r="D69" s="9">
        <v>2</v>
      </c>
      <c r="E69" s="11" t="s">
        <v>2</v>
      </c>
      <c r="F69" s="9">
        <v>271</v>
      </c>
      <c r="G69" s="12" t="s">
        <v>183</v>
      </c>
      <c r="H69" s="13" t="s">
        <v>14</v>
      </c>
      <c r="I69" s="10"/>
      <c r="J69" s="9">
        <v>43</v>
      </c>
      <c r="K69" s="14" t="s">
        <v>184</v>
      </c>
    </row>
    <row r="70" spans="1:11" outlineLevel="2">
      <c r="A70" s="15">
        <v>69</v>
      </c>
      <c r="B70" s="16" t="s">
        <v>160</v>
      </c>
      <c r="C70" s="16" t="s">
        <v>180</v>
      </c>
      <c r="D70" s="15">
        <v>3</v>
      </c>
      <c r="E70" s="17" t="s">
        <v>19</v>
      </c>
      <c r="F70" s="15">
        <v>50</v>
      </c>
      <c r="G70" s="18" t="s">
        <v>185</v>
      </c>
      <c r="H70" s="19" t="s">
        <v>14</v>
      </c>
      <c r="I70" s="16"/>
      <c r="J70" s="15">
        <v>271</v>
      </c>
      <c r="K70" s="20" t="s">
        <v>186</v>
      </c>
    </row>
    <row r="71" spans="1:11" outlineLevel="2">
      <c r="A71" s="15">
        <v>70</v>
      </c>
      <c r="B71" s="16" t="s">
        <v>160</v>
      </c>
      <c r="C71" s="16" t="s">
        <v>180</v>
      </c>
      <c r="D71" s="15">
        <v>3</v>
      </c>
      <c r="E71" s="17" t="s">
        <v>19</v>
      </c>
      <c r="F71" s="15">
        <v>51</v>
      </c>
      <c r="G71" s="18" t="s">
        <v>187</v>
      </c>
      <c r="H71" s="19" t="s">
        <v>14</v>
      </c>
      <c r="I71" s="16"/>
      <c r="J71" s="15">
        <v>271</v>
      </c>
      <c r="K71" s="20" t="s">
        <v>188</v>
      </c>
    </row>
    <row r="72" spans="1:11" outlineLevel="1">
      <c r="A72" s="9">
        <v>71</v>
      </c>
      <c r="B72" s="10" t="s">
        <v>160</v>
      </c>
      <c r="C72" s="10" t="s">
        <v>189</v>
      </c>
      <c r="D72" s="9">
        <v>2</v>
      </c>
      <c r="E72" s="11" t="s">
        <v>2</v>
      </c>
      <c r="F72" s="9">
        <v>78</v>
      </c>
      <c r="G72" s="12" t="s">
        <v>190</v>
      </c>
      <c r="H72" s="13" t="s">
        <v>14</v>
      </c>
      <c r="I72" s="10"/>
      <c r="J72" s="9">
        <v>43</v>
      </c>
      <c r="K72" s="14" t="s">
        <v>191</v>
      </c>
    </row>
    <row r="73" spans="1:11" outlineLevel="2">
      <c r="A73" s="15">
        <v>72</v>
      </c>
      <c r="B73" s="16" t="s">
        <v>160</v>
      </c>
      <c r="C73" s="16" t="s">
        <v>189</v>
      </c>
      <c r="D73" s="15">
        <v>3</v>
      </c>
      <c r="E73" s="17" t="s">
        <v>19</v>
      </c>
      <c r="F73" s="15">
        <v>52</v>
      </c>
      <c r="G73" s="18" t="s">
        <v>192</v>
      </c>
      <c r="H73" s="19" t="s">
        <v>14</v>
      </c>
      <c r="I73" s="16"/>
      <c r="J73" s="15">
        <v>78</v>
      </c>
      <c r="K73" s="20" t="s">
        <v>193</v>
      </c>
    </row>
    <row r="74" spans="1:11" outlineLevel="2">
      <c r="A74" s="15">
        <v>73</v>
      </c>
      <c r="B74" s="16" t="s">
        <v>160</v>
      </c>
      <c r="C74" s="16" t="s">
        <v>189</v>
      </c>
      <c r="D74" s="15">
        <v>3</v>
      </c>
      <c r="E74" s="17" t="s">
        <v>19</v>
      </c>
      <c r="F74" s="15">
        <v>53</v>
      </c>
      <c r="G74" s="18" t="s">
        <v>194</v>
      </c>
      <c r="H74" s="19" t="s">
        <v>14</v>
      </c>
      <c r="I74" s="16"/>
      <c r="J74" s="15">
        <v>78</v>
      </c>
      <c r="K74" s="20" t="s">
        <v>195</v>
      </c>
    </row>
    <row r="75" spans="1:11" outlineLevel="2">
      <c r="A75" s="15">
        <v>74</v>
      </c>
      <c r="B75" s="16" t="s">
        <v>160</v>
      </c>
      <c r="C75" s="16" t="s">
        <v>189</v>
      </c>
      <c r="D75" s="15">
        <v>3</v>
      </c>
      <c r="E75" s="17" t="s">
        <v>19</v>
      </c>
      <c r="F75" s="15">
        <v>54</v>
      </c>
      <c r="G75" s="18" t="s">
        <v>196</v>
      </c>
      <c r="H75" s="19" t="s">
        <v>14</v>
      </c>
      <c r="I75" s="16"/>
      <c r="J75" s="15">
        <v>78</v>
      </c>
      <c r="K75" s="20" t="s">
        <v>197</v>
      </c>
    </row>
    <row r="76" spans="1:11" outlineLevel="2">
      <c r="A76" s="15">
        <v>75</v>
      </c>
      <c r="B76" s="16" t="s">
        <v>160</v>
      </c>
      <c r="C76" s="16" t="s">
        <v>189</v>
      </c>
      <c r="D76" s="15">
        <v>3</v>
      </c>
      <c r="E76" s="17" t="s">
        <v>19</v>
      </c>
      <c r="F76" s="15">
        <v>79</v>
      </c>
      <c r="G76" s="18" t="s">
        <v>198</v>
      </c>
      <c r="H76" s="19" t="s">
        <v>14</v>
      </c>
      <c r="I76" s="16" t="s">
        <v>199</v>
      </c>
      <c r="J76" s="15">
        <v>78</v>
      </c>
      <c r="K76" s="20" t="s">
        <v>200</v>
      </c>
    </row>
    <row r="77" spans="1:11">
      <c r="A77" s="3">
        <v>76</v>
      </c>
      <c r="B77" s="4" t="s">
        <v>201</v>
      </c>
      <c r="C77" s="4"/>
      <c r="D77" s="3">
        <v>1</v>
      </c>
      <c r="E77" s="5" t="s">
        <v>1</v>
      </c>
      <c r="F77" s="3">
        <v>127</v>
      </c>
      <c r="G77" s="6" t="s">
        <v>202</v>
      </c>
      <c r="H77" s="7" t="s">
        <v>14</v>
      </c>
      <c r="I77" s="4"/>
      <c r="J77" s="3"/>
      <c r="K77" s="8" t="s">
        <v>203</v>
      </c>
    </row>
    <row r="78" spans="1:11" outlineLevel="1">
      <c r="A78" s="9">
        <v>77</v>
      </c>
      <c r="B78" s="10" t="s">
        <v>201</v>
      </c>
      <c r="C78" s="10" t="s">
        <v>204</v>
      </c>
      <c r="D78" s="9">
        <v>2</v>
      </c>
      <c r="E78" s="11" t="s">
        <v>2</v>
      </c>
      <c r="F78" s="9">
        <v>128</v>
      </c>
      <c r="G78" s="12" t="s">
        <v>205</v>
      </c>
      <c r="H78" s="13" t="s">
        <v>14</v>
      </c>
      <c r="I78" s="10" t="s">
        <v>206</v>
      </c>
      <c r="J78" s="9">
        <v>127</v>
      </c>
      <c r="K78" s="14" t="s">
        <v>207</v>
      </c>
    </row>
    <row r="79" spans="1:11" outlineLevel="1">
      <c r="A79" s="9">
        <v>78</v>
      </c>
      <c r="B79" s="10" t="s">
        <v>201</v>
      </c>
      <c r="C79" s="10" t="s">
        <v>208</v>
      </c>
      <c r="D79" s="9">
        <v>2</v>
      </c>
      <c r="E79" s="11" t="s">
        <v>2</v>
      </c>
      <c r="F79" s="9">
        <v>130</v>
      </c>
      <c r="G79" s="12" t="s">
        <v>209</v>
      </c>
      <c r="H79" s="13" t="s">
        <v>14</v>
      </c>
      <c r="I79" s="10" t="s">
        <v>210</v>
      </c>
      <c r="J79" s="9">
        <v>127</v>
      </c>
      <c r="K79" s="14" t="s">
        <v>211</v>
      </c>
    </row>
    <row r="80" spans="1:11" outlineLevel="2">
      <c r="A80" s="15">
        <v>79</v>
      </c>
      <c r="B80" s="16" t="s">
        <v>201</v>
      </c>
      <c r="C80" s="16" t="s">
        <v>208</v>
      </c>
      <c r="D80" s="15">
        <v>3</v>
      </c>
      <c r="E80" s="17" t="s">
        <v>19</v>
      </c>
      <c r="F80" s="15">
        <v>116</v>
      </c>
      <c r="G80" s="21" t="s">
        <v>212</v>
      </c>
      <c r="H80" s="19" t="s">
        <v>14</v>
      </c>
      <c r="I80" s="16" t="s">
        <v>213</v>
      </c>
      <c r="J80" s="15">
        <v>130</v>
      </c>
      <c r="K80" s="20" t="s">
        <v>214</v>
      </c>
    </row>
    <row r="81" spans="1:11" outlineLevel="1">
      <c r="A81" s="9">
        <v>80</v>
      </c>
      <c r="B81" s="10" t="s">
        <v>201</v>
      </c>
      <c r="C81" s="10" t="s">
        <v>215</v>
      </c>
      <c r="D81" s="9">
        <v>2</v>
      </c>
      <c r="E81" s="11" t="s">
        <v>2</v>
      </c>
      <c r="F81" s="9">
        <v>132</v>
      </c>
      <c r="G81" s="12" t="s">
        <v>216</v>
      </c>
      <c r="H81" s="13" t="s">
        <v>14</v>
      </c>
      <c r="I81" s="10" t="s">
        <v>217</v>
      </c>
      <c r="J81" s="9">
        <v>127</v>
      </c>
      <c r="K81" s="14" t="s">
        <v>218</v>
      </c>
    </row>
    <row r="82" spans="1:11" outlineLevel="1">
      <c r="A82" s="9">
        <v>81</v>
      </c>
      <c r="B82" s="10" t="s">
        <v>201</v>
      </c>
      <c r="C82" s="10" t="s">
        <v>219</v>
      </c>
      <c r="D82" s="9">
        <v>2</v>
      </c>
      <c r="E82" s="11" t="s">
        <v>2</v>
      </c>
      <c r="F82" s="9">
        <v>140</v>
      </c>
      <c r="G82" s="12" t="s">
        <v>220</v>
      </c>
      <c r="H82" s="13" t="s">
        <v>14</v>
      </c>
      <c r="I82" s="10" t="s">
        <v>221</v>
      </c>
      <c r="J82" s="9">
        <v>127</v>
      </c>
      <c r="K82" s="14" t="s">
        <v>222</v>
      </c>
    </row>
    <row r="83" spans="1:11" outlineLevel="1">
      <c r="A83" s="9">
        <v>82</v>
      </c>
      <c r="B83" s="10" t="s">
        <v>201</v>
      </c>
      <c r="C83" s="10" t="s">
        <v>223</v>
      </c>
      <c r="D83" s="9">
        <v>2</v>
      </c>
      <c r="E83" s="11" t="s">
        <v>2</v>
      </c>
      <c r="F83" s="9">
        <v>136</v>
      </c>
      <c r="G83" s="12" t="s">
        <v>224</v>
      </c>
      <c r="H83" s="13" t="s">
        <v>14</v>
      </c>
      <c r="I83" s="10" t="s">
        <v>225</v>
      </c>
      <c r="J83" s="9">
        <v>127</v>
      </c>
      <c r="K83" s="14" t="s">
        <v>226</v>
      </c>
    </row>
    <row r="84" spans="1:11" outlineLevel="1">
      <c r="A84" s="9">
        <v>83</v>
      </c>
      <c r="B84" s="10" t="s">
        <v>201</v>
      </c>
      <c r="C84" s="10" t="s">
        <v>227</v>
      </c>
      <c r="D84" s="9">
        <v>2</v>
      </c>
      <c r="E84" s="11" t="s">
        <v>2</v>
      </c>
      <c r="F84" s="9">
        <v>291</v>
      </c>
      <c r="G84" s="12" t="s">
        <v>228</v>
      </c>
      <c r="H84" s="23" t="s">
        <v>146</v>
      </c>
      <c r="I84" s="10"/>
      <c r="J84" s="9">
        <v>127</v>
      </c>
      <c r="K84" s="14" t="s">
        <v>229</v>
      </c>
    </row>
    <row r="85" spans="1:11" outlineLevel="1">
      <c r="A85" s="9">
        <v>84</v>
      </c>
      <c r="B85" s="10" t="s">
        <v>201</v>
      </c>
      <c r="C85" s="10" t="s">
        <v>230</v>
      </c>
      <c r="D85" s="9">
        <v>2</v>
      </c>
      <c r="E85" s="11" t="s">
        <v>2</v>
      </c>
      <c r="F85" s="9">
        <v>138</v>
      </c>
      <c r="G85" s="12" t="s">
        <v>231</v>
      </c>
      <c r="H85" s="13" t="s">
        <v>14</v>
      </c>
      <c r="I85" s="10" t="s">
        <v>232</v>
      </c>
      <c r="J85" s="9">
        <v>127</v>
      </c>
      <c r="K85" s="14" t="s">
        <v>233</v>
      </c>
    </row>
    <row r="86" spans="1:11" outlineLevel="1">
      <c r="A86" s="9">
        <v>85</v>
      </c>
      <c r="B86" s="10" t="s">
        <v>201</v>
      </c>
      <c r="C86" s="10" t="s">
        <v>234</v>
      </c>
      <c r="D86" s="9">
        <v>2</v>
      </c>
      <c r="E86" s="11" t="s">
        <v>2</v>
      </c>
      <c r="F86" s="9">
        <v>273</v>
      </c>
      <c r="G86" s="12" t="s">
        <v>235</v>
      </c>
      <c r="H86" s="13" t="s">
        <v>14</v>
      </c>
      <c r="I86" s="10"/>
      <c r="J86" s="9">
        <v>127</v>
      </c>
      <c r="K86" s="14" t="s">
        <v>236</v>
      </c>
    </row>
    <row r="87" spans="1:11" ht="25.5" outlineLevel="2">
      <c r="A87" s="15">
        <v>86</v>
      </c>
      <c r="B87" s="16" t="s">
        <v>201</v>
      </c>
      <c r="C87" s="16" t="s">
        <v>234</v>
      </c>
      <c r="D87" s="15">
        <v>3</v>
      </c>
      <c r="E87" s="17" t="s">
        <v>19</v>
      </c>
      <c r="F87" s="15">
        <v>224</v>
      </c>
      <c r="G87" s="18" t="s">
        <v>237</v>
      </c>
      <c r="H87" s="19" t="s">
        <v>14</v>
      </c>
      <c r="I87" s="16"/>
      <c r="J87" s="15">
        <v>273</v>
      </c>
      <c r="K87" s="20" t="s">
        <v>238</v>
      </c>
    </row>
    <row r="88" spans="1:11" outlineLevel="1">
      <c r="A88" s="9">
        <v>87</v>
      </c>
      <c r="B88" s="10" t="s">
        <v>201</v>
      </c>
      <c r="C88" s="10" t="s">
        <v>239</v>
      </c>
      <c r="D88" s="9">
        <v>2</v>
      </c>
      <c r="E88" s="11" t="s">
        <v>2</v>
      </c>
      <c r="F88" s="9">
        <v>292</v>
      </c>
      <c r="G88" s="12" t="s">
        <v>240</v>
      </c>
      <c r="H88" s="23" t="s">
        <v>146</v>
      </c>
      <c r="I88" s="10"/>
      <c r="J88" s="9">
        <v>127</v>
      </c>
      <c r="K88" s="14" t="s">
        <v>241</v>
      </c>
    </row>
    <row r="89" spans="1:11" outlineLevel="2">
      <c r="A89" s="15">
        <v>88</v>
      </c>
      <c r="B89" s="16" t="s">
        <v>201</v>
      </c>
      <c r="C89" s="16" t="s">
        <v>239</v>
      </c>
      <c r="D89" s="15">
        <v>3</v>
      </c>
      <c r="E89" s="17" t="s">
        <v>19</v>
      </c>
      <c r="F89" s="15">
        <v>178</v>
      </c>
      <c r="G89" s="18" t="s">
        <v>242</v>
      </c>
      <c r="H89" s="19" t="s">
        <v>14</v>
      </c>
      <c r="I89" s="16"/>
      <c r="J89" s="15">
        <v>292</v>
      </c>
      <c r="K89" s="20" t="s">
        <v>243</v>
      </c>
    </row>
    <row r="90" spans="1:11" outlineLevel="2">
      <c r="A90" s="15">
        <v>89</v>
      </c>
      <c r="B90" s="16" t="s">
        <v>201</v>
      </c>
      <c r="C90" s="16" t="s">
        <v>239</v>
      </c>
      <c r="D90" s="15">
        <v>3</v>
      </c>
      <c r="E90" s="17" t="s">
        <v>19</v>
      </c>
      <c r="F90" s="15">
        <v>180</v>
      </c>
      <c r="G90" s="18" t="s">
        <v>244</v>
      </c>
      <c r="H90" s="19" t="s">
        <v>14</v>
      </c>
      <c r="I90" s="16"/>
      <c r="J90" s="15">
        <v>292</v>
      </c>
      <c r="K90" s="20" t="s">
        <v>245</v>
      </c>
    </row>
    <row r="91" spans="1:11">
      <c r="A91" s="3">
        <v>90</v>
      </c>
      <c r="B91" s="4" t="s">
        <v>246</v>
      </c>
      <c r="C91" s="4"/>
      <c r="D91" s="3">
        <v>1</v>
      </c>
      <c r="E91" s="5" t="s">
        <v>1</v>
      </c>
      <c r="F91" s="3">
        <v>145</v>
      </c>
      <c r="G91" s="6" t="s">
        <v>247</v>
      </c>
      <c r="H91" s="7" t="s">
        <v>14</v>
      </c>
      <c r="I91" s="4"/>
      <c r="J91" s="3"/>
      <c r="K91" s="8" t="s">
        <v>248</v>
      </c>
    </row>
    <row r="92" spans="1:11" outlineLevel="1">
      <c r="A92" s="9">
        <v>91</v>
      </c>
      <c r="B92" s="10" t="s">
        <v>246</v>
      </c>
      <c r="C92" s="10" t="s">
        <v>249</v>
      </c>
      <c r="D92" s="9">
        <v>2</v>
      </c>
      <c r="E92" s="11" t="s">
        <v>2</v>
      </c>
      <c r="F92" s="9">
        <v>274</v>
      </c>
      <c r="G92" s="12" t="s">
        <v>250</v>
      </c>
      <c r="H92" s="23" t="s">
        <v>146</v>
      </c>
      <c r="I92" s="10"/>
      <c r="J92" s="9">
        <v>145</v>
      </c>
      <c r="K92" s="14" t="s">
        <v>251</v>
      </c>
    </row>
    <row r="93" spans="1:11" outlineLevel="2">
      <c r="A93" s="15">
        <v>92</v>
      </c>
      <c r="B93" s="16" t="s">
        <v>246</v>
      </c>
      <c r="C93" s="16" t="s">
        <v>249</v>
      </c>
      <c r="D93" s="15">
        <v>3</v>
      </c>
      <c r="E93" s="17" t="s">
        <v>19</v>
      </c>
      <c r="F93" s="15">
        <v>146</v>
      </c>
      <c r="G93" s="18" t="s">
        <v>252</v>
      </c>
      <c r="H93" s="19" t="s">
        <v>14</v>
      </c>
      <c r="I93" s="16"/>
      <c r="J93" s="15">
        <v>274</v>
      </c>
      <c r="K93" s="20" t="s">
        <v>253</v>
      </c>
    </row>
    <row r="94" spans="1:11" outlineLevel="2">
      <c r="A94" s="15">
        <v>93</v>
      </c>
      <c r="B94" s="16" t="s">
        <v>246</v>
      </c>
      <c r="C94" s="16" t="s">
        <v>249</v>
      </c>
      <c r="D94" s="15">
        <v>3</v>
      </c>
      <c r="E94" s="17" t="s">
        <v>19</v>
      </c>
      <c r="F94" s="15">
        <v>147</v>
      </c>
      <c r="G94" s="18" t="s">
        <v>254</v>
      </c>
      <c r="H94" s="19" t="s">
        <v>14</v>
      </c>
      <c r="I94" s="16"/>
      <c r="J94" s="15">
        <v>274</v>
      </c>
      <c r="K94" s="20" t="s">
        <v>255</v>
      </c>
    </row>
    <row r="95" spans="1:11" outlineLevel="2">
      <c r="A95" s="15">
        <v>94</v>
      </c>
      <c r="B95" s="16" t="s">
        <v>246</v>
      </c>
      <c r="C95" s="16" t="s">
        <v>249</v>
      </c>
      <c r="D95" s="15">
        <v>3</v>
      </c>
      <c r="E95" s="17" t="s">
        <v>19</v>
      </c>
      <c r="F95" s="15">
        <v>148</v>
      </c>
      <c r="G95" s="18" t="s">
        <v>256</v>
      </c>
      <c r="H95" s="19" t="s">
        <v>14</v>
      </c>
      <c r="I95" s="16"/>
      <c r="J95" s="15">
        <v>274</v>
      </c>
      <c r="K95" s="20" t="s">
        <v>257</v>
      </c>
    </row>
    <row r="96" spans="1:11" outlineLevel="2">
      <c r="A96" s="15">
        <v>95</v>
      </c>
      <c r="B96" s="16" t="s">
        <v>246</v>
      </c>
      <c r="C96" s="16" t="s">
        <v>249</v>
      </c>
      <c r="D96" s="15">
        <v>3</v>
      </c>
      <c r="E96" s="17" t="s">
        <v>19</v>
      </c>
      <c r="F96" s="15">
        <v>159</v>
      </c>
      <c r="G96" s="18" t="s">
        <v>258</v>
      </c>
      <c r="H96" s="19" t="s">
        <v>14</v>
      </c>
      <c r="I96" s="16"/>
      <c r="J96" s="15">
        <v>274</v>
      </c>
      <c r="K96" s="20" t="s">
        <v>259</v>
      </c>
    </row>
    <row r="97" spans="1:11" outlineLevel="1">
      <c r="A97" s="9">
        <v>96</v>
      </c>
      <c r="B97" s="10" t="s">
        <v>246</v>
      </c>
      <c r="C97" s="10" t="s">
        <v>260</v>
      </c>
      <c r="D97" s="9">
        <v>2</v>
      </c>
      <c r="E97" s="11" t="s">
        <v>2</v>
      </c>
      <c r="F97" s="9">
        <v>275</v>
      </c>
      <c r="G97" s="12" t="s">
        <v>261</v>
      </c>
      <c r="H97" s="23" t="s">
        <v>146</v>
      </c>
      <c r="I97" s="10"/>
      <c r="J97" s="9">
        <v>145</v>
      </c>
      <c r="K97" s="14" t="s">
        <v>262</v>
      </c>
    </row>
    <row r="98" spans="1:11" outlineLevel="2">
      <c r="A98" s="15">
        <v>97</v>
      </c>
      <c r="B98" s="16" t="s">
        <v>246</v>
      </c>
      <c r="C98" s="16" t="s">
        <v>260</v>
      </c>
      <c r="D98" s="15">
        <v>3</v>
      </c>
      <c r="E98" s="17" t="s">
        <v>19</v>
      </c>
      <c r="F98" s="15">
        <v>149</v>
      </c>
      <c r="G98" s="18" t="s">
        <v>263</v>
      </c>
      <c r="H98" s="19" t="s">
        <v>14</v>
      </c>
      <c r="I98" s="16"/>
      <c r="J98" s="15">
        <v>275</v>
      </c>
      <c r="K98" s="20" t="s">
        <v>264</v>
      </c>
    </row>
    <row r="99" spans="1:11" outlineLevel="2">
      <c r="A99" s="15">
        <v>98</v>
      </c>
      <c r="B99" s="16" t="s">
        <v>246</v>
      </c>
      <c r="C99" s="16" t="s">
        <v>260</v>
      </c>
      <c r="D99" s="15">
        <v>3</v>
      </c>
      <c r="E99" s="22" t="s">
        <v>60</v>
      </c>
      <c r="F99" s="15">
        <v>223</v>
      </c>
      <c r="G99" s="18" t="s">
        <v>265</v>
      </c>
      <c r="H99" s="24" t="s">
        <v>146</v>
      </c>
      <c r="I99" s="16"/>
      <c r="J99" s="15">
        <v>275</v>
      </c>
      <c r="K99" s="20" t="s">
        <v>266</v>
      </c>
    </row>
    <row r="100" spans="1:11" outlineLevel="1">
      <c r="A100" s="9">
        <v>99</v>
      </c>
      <c r="B100" s="10" t="s">
        <v>246</v>
      </c>
      <c r="C100" s="10" t="s">
        <v>267</v>
      </c>
      <c r="D100" s="9">
        <v>2</v>
      </c>
      <c r="E100" s="11" t="s">
        <v>2</v>
      </c>
      <c r="F100" s="9">
        <v>276</v>
      </c>
      <c r="G100" s="12" t="s">
        <v>268</v>
      </c>
      <c r="H100" s="23" t="s">
        <v>146</v>
      </c>
      <c r="I100" s="10"/>
      <c r="J100" s="9">
        <v>145</v>
      </c>
      <c r="K100" s="14" t="s">
        <v>269</v>
      </c>
    </row>
    <row r="101" spans="1:11" outlineLevel="2">
      <c r="A101" s="15">
        <v>100</v>
      </c>
      <c r="B101" s="16" t="s">
        <v>246</v>
      </c>
      <c r="C101" s="16" t="s">
        <v>267</v>
      </c>
      <c r="D101" s="15">
        <v>3</v>
      </c>
      <c r="E101" s="17" t="s">
        <v>19</v>
      </c>
      <c r="F101" s="15">
        <v>152</v>
      </c>
      <c r="G101" s="18" t="s">
        <v>270</v>
      </c>
      <c r="H101" s="19" t="s">
        <v>14</v>
      </c>
      <c r="I101" s="16"/>
      <c r="J101" s="15">
        <v>276</v>
      </c>
      <c r="K101" s="20" t="s">
        <v>271</v>
      </c>
    </row>
    <row r="102" spans="1:11" outlineLevel="2">
      <c r="A102" s="15">
        <v>101</v>
      </c>
      <c r="B102" s="16" t="s">
        <v>246</v>
      </c>
      <c r="C102" s="16" t="s">
        <v>267</v>
      </c>
      <c r="D102" s="15">
        <v>3</v>
      </c>
      <c r="E102" s="17" t="s">
        <v>19</v>
      </c>
      <c r="F102" s="15">
        <v>153</v>
      </c>
      <c r="G102" s="18" t="s">
        <v>272</v>
      </c>
      <c r="H102" s="19" t="s">
        <v>14</v>
      </c>
      <c r="I102" s="16"/>
      <c r="J102" s="15">
        <v>276</v>
      </c>
      <c r="K102" s="20" t="s">
        <v>273</v>
      </c>
    </row>
    <row r="103" spans="1:11" outlineLevel="2">
      <c r="A103" s="15">
        <v>102</v>
      </c>
      <c r="B103" s="16" t="s">
        <v>246</v>
      </c>
      <c r="C103" s="16" t="s">
        <v>267</v>
      </c>
      <c r="D103" s="15">
        <v>3</v>
      </c>
      <c r="E103" s="17" t="s">
        <v>19</v>
      </c>
      <c r="F103" s="15">
        <v>154</v>
      </c>
      <c r="G103" s="18" t="s">
        <v>274</v>
      </c>
      <c r="H103" s="19" t="s">
        <v>14</v>
      </c>
      <c r="I103" s="16"/>
      <c r="J103" s="15">
        <v>276</v>
      </c>
      <c r="K103" s="20" t="s">
        <v>275</v>
      </c>
    </row>
    <row r="104" spans="1:11" outlineLevel="2">
      <c r="A104" s="15">
        <v>103</v>
      </c>
      <c r="B104" s="16" t="s">
        <v>246</v>
      </c>
      <c r="C104" s="16" t="s">
        <v>267</v>
      </c>
      <c r="D104" s="15">
        <v>3</v>
      </c>
      <c r="E104" s="22" t="s">
        <v>60</v>
      </c>
      <c r="F104" s="15">
        <v>261</v>
      </c>
      <c r="G104" s="18" t="s">
        <v>276</v>
      </c>
      <c r="H104" s="24" t="s">
        <v>146</v>
      </c>
      <c r="I104" s="16"/>
      <c r="J104" s="15">
        <v>276</v>
      </c>
      <c r="K104" s="20" t="s">
        <v>277</v>
      </c>
    </row>
    <row r="105" spans="1:11" outlineLevel="1">
      <c r="A105" s="9">
        <v>104</v>
      </c>
      <c r="B105" s="10" t="s">
        <v>246</v>
      </c>
      <c r="C105" s="10" t="s">
        <v>278</v>
      </c>
      <c r="D105" s="9">
        <v>2</v>
      </c>
      <c r="E105" s="11" t="s">
        <v>2</v>
      </c>
      <c r="F105" s="9">
        <v>277</v>
      </c>
      <c r="G105" s="12" t="s">
        <v>279</v>
      </c>
      <c r="H105" s="23" t="s">
        <v>146</v>
      </c>
      <c r="I105" s="10"/>
      <c r="J105" s="9">
        <v>145</v>
      </c>
      <c r="K105" s="14" t="s">
        <v>280</v>
      </c>
    </row>
    <row r="106" spans="1:11" outlineLevel="2">
      <c r="A106" s="15">
        <v>105</v>
      </c>
      <c r="B106" s="16" t="s">
        <v>246</v>
      </c>
      <c r="C106" s="16" t="s">
        <v>278</v>
      </c>
      <c r="D106" s="15">
        <v>3</v>
      </c>
      <c r="E106" s="17" t="s">
        <v>19</v>
      </c>
      <c r="F106" s="15">
        <v>193</v>
      </c>
      <c r="G106" s="18" t="s">
        <v>281</v>
      </c>
      <c r="H106" s="19" t="s">
        <v>14</v>
      </c>
      <c r="I106" s="16"/>
      <c r="J106" s="15">
        <v>277</v>
      </c>
      <c r="K106" s="20" t="s">
        <v>282</v>
      </c>
    </row>
    <row r="107" spans="1:11" outlineLevel="2">
      <c r="A107" s="15">
        <v>106</v>
      </c>
      <c r="B107" s="16" t="s">
        <v>246</v>
      </c>
      <c r="C107" s="16" t="s">
        <v>278</v>
      </c>
      <c r="D107" s="15">
        <v>3</v>
      </c>
      <c r="E107" s="17" t="s">
        <v>19</v>
      </c>
      <c r="F107" s="15">
        <v>196</v>
      </c>
      <c r="G107" s="18" t="s">
        <v>283</v>
      </c>
      <c r="H107" s="19" t="s">
        <v>14</v>
      </c>
      <c r="I107" s="16"/>
      <c r="J107" s="15">
        <v>277</v>
      </c>
      <c r="K107" s="20" t="s">
        <v>284</v>
      </c>
    </row>
    <row r="108" spans="1:11" outlineLevel="1">
      <c r="A108" s="9">
        <v>107</v>
      </c>
      <c r="B108" s="10" t="s">
        <v>246</v>
      </c>
      <c r="C108" s="10" t="s">
        <v>285</v>
      </c>
      <c r="D108" s="9">
        <v>2</v>
      </c>
      <c r="E108" s="11" t="s">
        <v>2</v>
      </c>
      <c r="F108" s="9">
        <v>278</v>
      </c>
      <c r="G108" s="12" t="s">
        <v>286</v>
      </c>
      <c r="H108" s="23" t="s">
        <v>146</v>
      </c>
      <c r="I108" s="10"/>
      <c r="J108" s="9">
        <v>145</v>
      </c>
      <c r="K108" s="14" t="s">
        <v>287</v>
      </c>
    </row>
    <row r="109" spans="1:11">
      <c r="A109" s="3">
        <v>108</v>
      </c>
      <c r="B109" s="4" t="s">
        <v>288</v>
      </c>
      <c r="C109" s="4"/>
      <c r="D109" s="3">
        <v>1</v>
      </c>
      <c r="E109" s="5" t="s">
        <v>1</v>
      </c>
      <c r="F109" s="3">
        <v>202</v>
      </c>
      <c r="G109" s="6" t="s">
        <v>289</v>
      </c>
      <c r="H109" s="7" t="s">
        <v>14</v>
      </c>
      <c r="I109" s="4"/>
      <c r="J109" s="3"/>
      <c r="K109" s="8" t="s">
        <v>290</v>
      </c>
    </row>
    <row r="110" spans="1:11" ht="26.25" outlineLevel="1">
      <c r="A110" s="9">
        <v>109</v>
      </c>
      <c r="B110" s="10" t="s">
        <v>288</v>
      </c>
      <c r="C110" s="10" t="s">
        <v>291</v>
      </c>
      <c r="D110" s="9">
        <v>2</v>
      </c>
      <c r="E110" s="11" t="s">
        <v>2</v>
      </c>
      <c r="F110" s="9">
        <v>172</v>
      </c>
      <c r="G110" s="12" t="s">
        <v>292</v>
      </c>
      <c r="H110" s="13" t="s">
        <v>14</v>
      </c>
      <c r="I110" s="10"/>
      <c r="J110" s="9">
        <v>202</v>
      </c>
      <c r="K110" s="14" t="s">
        <v>293</v>
      </c>
    </row>
    <row r="111" spans="1:11" outlineLevel="2">
      <c r="A111" s="15">
        <v>110</v>
      </c>
      <c r="B111" s="16" t="s">
        <v>288</v>
      </c>
      <c r="C111" s="16" t="s">
        <v>291</v>
      </c>
      <c r="D111" s="15">
        <v>3</v>
      </c>
      <c r="E111" s="17" t="s">
        <v>19</v>
      </c>
      <c r="F111" s="15">
        <v>192</v>
      </c>
      <c r="G111" s="18" t="s">
        <v>294</v>
      </c>
      <c r="H111" s="19" t="s">
        <v>14</v>
      </c>
      <c r="I111" s="16"/>
      <c r="J111" s="15">
        <v>172</v>
      </c>
      <c r="K111" s="20" t="s">
        <v>295</v>
      </c>
    </row>
    <row r="112" spans="1:11" outlineLevel="2">
      <c r="A112" s="15">
        <v>111</v>
      </c>
      <c r="B112" s="16" t="s">
        <v>288</v>
      </c>
      <c r="C112" s="16" t="s">
        <v>291</v>
      </c>
      <c r="D112" s="15">
        <v>3</v>
      </c>
      <c r="E112" s="17" t="s">
        <v>19</v>
      </c>
      <c r="F112" s="15">
        <v>204</v>
      </c>
      <c r="G112" s="18" t="s">
        <v>296</v>
      </c>
      <c r="H112" s="19" t="s">
        <v>14</v>
      </c>
      <c r="I112" s="16"/>
      <c r="J112" s="15">
        <v>172</v>
      </c>
      <c r="K112" s="20" t="s">
        <v>297</v>
      </c>
    </row>
    <row r="113" spans="1:11" outlineLevel="2">
      <c r="A113" s="15">
        <v>112</v>
      </c>
      <c r="B113" s="16" t="s">
        <v>288</v>
      </c>
      <c r="C113" s="16" t="s">
        <v>291</v>
      </c>
      <c r="D113" s="15">
        <v>3</v>
      </c>
      <c r="E113" s="17" t="s">
        <v>19</v>
      </c>
      <c r="F113" s="15">
        <v>205</v>
      </c>
      <c r="G113" s="18" t="s">
        <v>298</v>
      </c>
      <c r="H113" s="19" t="s">
        <v>14</v>
      </c>
      <c r="I113" s="16"/>
      <c r="J113" s="15">
        <v>172</v>
      </c>
      <c r="K113" s="20" t="s">
        <v>299</v>
      </c>
    </row>
    <row r="114" spans="1:11" outlineLevel="2">
      <c r="A114" s="15">
        <v>113</v>
      </c>
      <c r="B114" s="16" t="s">
        <v>288</v>
      </c>
      <c r="C114" s="16" t="s">
        <v>291</v>
      </c>
      <c r="D114" s="15">
        <v>3</v>
      </c>
      <c r="E114" s="17" t="s">
        <v>19</v>
      </c>
      <c r="F114" s="15">
        <v>206</v>
      </c>
      <c r="G114" s="18" t="s">
        <v>300</v>
      </c>
      <c r="H114" s="19" t="s">
        <v>14</v>
      </c>
      <c r="I114" s="16"/>
      <c r="J114" s="15">
        <v>172</v>
      </c>
      <c r="K114" s="20" t="s">
        <v>301</v>
      </c>
    </row>
    <row r="115" spans="1:11" outlineLevel="1">
      <c r="A115" s="9">
        <v>114</v>
      </c>
      <c r="B115" s="10" t="s">
        <v>288</v>
      </c>
      <c r="C115" s="10" t="s">
        <v>302</v>
      </c>
      <c r="D115" s="9">
        <v>2</v>
      </c>
      <c r="E115" s="11" t="s">
        <v>2</v>
      </c>
      <c r="F115" s="9">
        <v>279</v>
      </c>
      <c r="G115" s="12" t="s">
        <v>303</v>
      </c>
      <c r="H115" s="23" t="s">
        <v>146</v>
      </c>
      <c r="I115" s="10"/>
      <c r="J115" s="9">
        <v>202</v>
      </c>
      <c r="K115" s="14" t="s">
        <v>304</v>
      </c>
    </row>
    <row r="116" spans="1:11" outlineLevel="2">
      <c r="A116" s="15">
        <v>115</v>
      </c>
      <c r="B116" s="16" t="s">
        <v>288</v>
      </c>
      <c r="C116" s="16" t="s">
        <v>302</v>
      </c>
      <c r="D116" s="15">
        <v>3</v>
      </c>
      <c r="E116" s="17" t="s">
        <v>19</v>
      </c>
      <c r="F116" s="15">
        <v>203</v>
      </c>
      <c r="G116" s="18" t="s">
        <v>305</v>
      </c>
      <c r="H116" s="19" t="s">
        <v>14</v>
      </c>
      <c r="I116" s="16"/>
      <c r="J116" s="15">
        <v>279</v>
      </c>
      <c r="K116" s="20" t="s">
        <v>306</v>
      </c>
    </row>
    <row r="117" spans="1:11" ht="25.5" outlineLevel="2">
      <c r="A117" s="15">
        <v>116</v>
      </c>
      <c r="B117" s="16" t="s">
        <v>288</v>
      </c>
      <c r="C117" s="16" t="s">
        <v>302</v>
      </c>
      <c r="D117" s="15">
        <v>3</v>
      </c>
      <c r="E117" s="17" t="s">
        <v>19</v>
      </c>
      <c r="F117" s="15">
        <v>225</v>
      </c>
      <c r="G117" s="18" t="s">
        <v>307</v>
      </c>
      <c r="H117" s="19" t="s">
        <v>14</v>
      </c>
      <c r="I117" s="16"/>
      <c r="J117" s="15">
        <v>279</v>
      </c>
      <c r="K117" s="20" t="s">
        <v>308</v>
      </c>
    </row>
    <row r="118" spans="1:11" outlineLevel="2">
      <c r="A118" s="15">
        <v>117</v>
      </c>
      <c r="B118" s="16" t="s">
        <v>288</v>
      </c>
      <c r="C118" s="16" t="s">
        <v>302</v>
      </c>
      <c r="D118" s="15">
        <v>3</v>
      </c>
      <c r="E118" s="17" t="s">
        <v>19</v>
      </c>
      <c r="F118" s="15">
        <v>226</v>
      </c>
      <c r="G118" s="18" t="s">
        <v>309</v>
      </c>
      <c r="H118" s="19" t="s">
        <v>14</v>
      </c>
      <c r="I118" s="16"/>
      <c r="J118" s="15">
        <v>279</v>
      </c>
      <c r="K118" s="20" t="s">
        <v>310</v>
      </c>
    </row>
    <row r="119" spans="1:11" outlineLevel="2">
      <c r="A119" s="15">
        <v>118</v>
      </c>
      <c r="B119" s="16" t="s">
        <v>288</v>
      </c>
      <c r="C119" s="16" t="s">
        <v>302</v>
      </c>
      <c r="D119" s="15">
        <v>3</v>
      </c>
      <c r="E119" s="17" t="s">
        <v>19</v>
      </c>
      <c r="F119" s="15">
        <v>227</v>
      </c>
      <c r="G119" s="18" t="s">
        <v>311</v>
      </c>
      <c r="H119" s="19" t="s">
        <v>14</v>
      </c>
      <c r="I119" s="16"/>
      <c r="J119" s="15">
        <v>279</v>
      </c>
      <c r="K119" s="20" t="s">
        <v>312</v>
      </c>
    </row>
    <row r="120" spans="1:11" outlineLevel="2">
      <c r="A120" s="15">
        <v>119</v>
      </c>
      <c r="B120" s="16" t="s">
        <v>288</v>
      </c>
      <c r="C120" s="16" t="s">
        <v>302</v>
      </c>
      <c r="D120" s="15">
        <v>3</v>
      </c>
      <c r="E120" s="17" t="s">
        <v>19</v>
      </c>
      <c r="F120" s="15">
        <v>228</v>
      </c>
      <c r="G120" s="18" t="s">
        <v>313</v>
      </c>
      <c r="H120" s="19" t="s">
        <v>14</v>
      </c>
      <c r="I120" s="16"/>
      <c r="J120" s="15">
        <v>279</v>
      </c>
      <c r="K120" s="20" t="s">
        <v>314</v>
      </c>
    </row>
    <row r="121" spans="1:11" outlineLevel="2">
      <c r="A121" s="15">
        <v>120</v>
      </c>
      <c r="B121" s="16" t="s">
        <v>288</v>
      </c>
      <c r="C121" s="16" t="s">
        <v>302</v>
      </c>
      <c r="D121" s="15">
        <v>3</v>
      </c>
      <c r="E121" s="17" t="s">
        <v>19</v>
      </c>
      <c r="F121" s="15">
        <v>267</v>
      </c>
      <c r="G121" s="18" t="s">
        <v>315</v>
      </c>
      <c r="H121" s="19" t="s">
        <v>14</v>
      </c>
      <c r="I121" s="16"/>
      <c r="J121" s="15">
        <v>279</v>
      </c>
      <c r="K121" s="20" t="s">
        <v>316</v>
      </c>
    </row>
    <row r="122" spans="1:11" outlineLevel="2">
      <c r="A122" s="15">
        <v>121</v>
      </c>
      <c r="B122" s="16" t="s">
        <v>288</v>
      </c>
      <c r="C122" s="16" t="s">
        <v>302</v>
      </c>
      <c r="D122" s="15">
        <v>3</v>
      </c>
      <c r="E122" s="17" t="s">
        <v>19</v>
      </c>
      <c r="F122" s="15">
        <v>268</v>
      </c>
      <c r="G122" s="18" t="s">
        <v>317</v>
      </c>
      <c r="H122" s="19" t="s">
        <v>14</v>
      </c>
      <c r="I122" s="16"/>
      <c r="J122" s="15">
        <v>279</v>
      </c>
      <c r="K122" s="20" t="s">
        <v>318</v>
      </c>
    </row>
    <row r="123" spans="1:11" outlineLevel="1">
      <c r="A123" s="15">
        <v>122</v>
      </c>
      <c r="B123" s="16" t="s">
        <v>288</v>
      </c>
      <c r="C123" s="16"/>
      <c r="D123" s="15">
        <v>2</v>
      </c>
      <c r="E123" s="22" t="s">
        <v>60</v>
      </c>
      <c r="F123" s="15">
        <v>232</v>
      </c>
      <c r="G123" s="18" t="s">
        <v>319</v>
      </c>
      <c r="H123" s="19" t="s">
        <v>14</v>
      </c>
      <c r="I123" s="16"/>
      <c r="J123" s="15">
        <v>202</v>
      </c>
      <c r="K123" s="20" t="s">
        <v>320</v>
      </c>
    </row>
    <row r="124" spans="1:11">
      <c r="A124" s="3">
        <v>123</v>
      </c>
      <c r="B124" s="4" t="s">
        <v>321</v>
      </c>
      <c r="C124" s="4"/>
      <c r="D124" s="3">
        <v>1</v>
      </c>
      <c r="E124" s="5" t="s">
        <v>1</v>
      </c>
      <c r="F124" s="3">
        <v>207</v>
      </c>
      <c r="G124" s="6" t="s">
        <v>322</v>
      </c>
      <c r="H124" s="25" t="s">
        <v>146</v>
      </c>
      <c r="I124" s="4"/>
      <c r="J124" s="3"/>
      <c r="K124" s="8" t="s">
        <v>323</v>
      </c>
    </row>
    <row r="125" spans="1:11" outlineLevel="1">
      <c r="A125" s="9">
        <v>124</v>
      </c>
      <c r="B125" s="10" t="s">
        <v>321</v>
      </c>
      <c r="C125" s="10" t="s">
        <v>324</v>
      </c>
      <c r="D125" s="9">
        <v>2</v>
      </c>
      <c r="E125" s="11" t="s">
        <v>2</v>
      </c>
      <c r="F125" s="9">
        <v>280</v>
      </c>
      <c r="G125" s="12" t="s">
        <v>325</v>
      </c>
      <c r="H125" s="23" t="s">
        <v>146</v>
      </c>
      <c r="I125" s="10"/>
      <c r="J125" s="9">
        <v>207</v>
      </c>
      <c r="K125" s="14" t="s">
        <v>326</v>
      </c>
    </row>
    <row r="126" spans="1:11" outlineLevel="2">
      <c r="A126" s="15">
        <v>125</v>
      </c>
      <c r="B126" s="16" t="s">
        <v>321</v>
      </c>
      <c r="C126" s="16" t="s">
        <v>324</v>
      </c>
      <c r="D126" s="15">
        <v>3</v>
      </c>
      <c r="E126" s="17" t="s">
        <v>19</v>
      </c>
      <c r="F126" s="15">
        <v>160</v>
      </c>
      <c r="G126" s="18" t="s">
        <v>327</v>
      </c>
      <c r="H126" s="19" t="s">
        <v>14</v>
      </c>
      <c r="I126" s="16"/>
      <c r="J126" s="15">
        <v>280</v>
      </c>
      <c r="K126" s="20" t="s">
        <v>328</v>
      </c>
    </row>
    <row r="127" spans="1:11" outlineLevel="2">
      <c r="A127" s="15">
        <v>126</v>
      </c>
      <c r="B127" s="16" t="s">
        <v>321</v>
      </c>
      <c r="C127" s="16" t="s">
        <v>324</v>
      </c>
      <c r="D127" s="15">
        <v>3</v>
      </c>
      <c r="E127" s="17" t="s">
        <v>19</v>
      </c>
      <c r="F127" s="15">
        <v>197</v>
      </c>
      <c r="G127" s="18" t="s">
        <v>329</v>
      </c>
      <c r="H127" s="19" t="s">
        <v>14</v>
      </c>
      <c r="I127" s="16"/>
      <c r="J127" s="15">
        <v>280</v>
      </c>
      <c r="K127" s="20" t="s">
        <v>330</v>
      </c>
    </row>
    <row r="128" spans="1:11" outlineLevel="2">
      <c r="A128" s="15">
        <v>127</v>
      </c>
      <c r="B128" s="16" t="s">
        <v>321</v>
      </c>
      <c r="C128" s="16" t="s">
        <v>324</v>
      </c>
      <c r="D128" s="15">
        <v>3</v>
      </c>
      <c r="E128" s="17" t="s">
        <v>19</v>
      </c>
      <c r="F128" s="15">
        <v>210</v>
      </c>
      <c r="G128" s="18" t="s">
        <v>331</v>
      </c>
      <c r="H128" s="19" t="s">
        <v>14</v>
      </c>
      <c r="I128" s="16"/>
      <c r="J128" s="15">
        <v>280</v>
      </c>
      <c r="K128" s="20" t="s">
        <v>332</v>
      </c>
    </row>
    <row r="129" spans="1:11" outlineLevel="1">
      <c r="A129" s="9">
        <v>128</v>
      </c>
      <c r="B129" s="10" t="s">
        <v>321</v>
      </c>
      <c r="C129" s="10" t="s">
        <v>333</v>
      </c>
      <c r="D129" s="9">
        <v>2</v>
      </c>
      <c r="E129" s="11" t="s">
        <v>2</v>
      </c>
      <c r="F129" s="9">
        <v>281</v>
      </c>
      <c r="G129" s="12" t="s">
        <v>334</v>
      </c>
      <c r="H129" s="23" t="s">
        <v>146</v>
      </c>
      <c r="I129" s="10"/>
      <c r="J129" s="9">
        <v>207</v>
      </c>
      <c r="K129" s="14" t="s">
        <v>335</v>
      </c>
    </row>
    <row r="130" spans="1:11" outlineLevel="2">
      <c r="A130" s="15">
        <v>129</v>
      </c>
      <c r="B130" s="16" t="s">
        <v>321</v>
      </c>
      <c r="C130" s="16" t="s">
        <v>333</v>
      </c>
      <c r="D130" s="15">
        <v>3</v>
      </c>
      <c r="E130" s="17" t="s">
        <v>19</v>
      </c>
      <c r="F130" s="15">
        <v>209</v>
      </c>
      <c r="G130" s="18" t="s">
        <v>336</v>
      </c>
      <c r="H130" s="19" t="s">
        <v>14</v>
      </c>
      <c r="I130" s="16"/>
      <c r="J130" s="15">
        <v>281</v>
      </c>
      <c r="K130" s="20" t="s">
        <v>337</v>
      </c>
    </row>
    <row r="131" spans="1:11" outlineLevel="1">
      <c r="A131" s="9">
        <v>130</v>
      </c>
      <c r="B131" s="10" t="s">
        <v>321</v>
      </c>
      <c r="C131" s="10" t="s">
        <v>338</v>
      </c>
      <c r="D131" s="9">
        <v>2</v>
      </c>
      <c r="E131" s="11" t="s">
        <v>2</v>
      </c>
      <c r="F131" s="9">
        <v>218</v>
      </c>
      <c r="G131" s="12" t="s">
        <v>339</v>
      </c>
      <c r="H131" s="23" t="s">
        <v>146</v>
      </c>
      <c r="I131" s="10"/>
      <c r="J131" s="9">
        <v>207</v>
      </c>
      <c r="K131" s="14" t="s">
        <v>340</v>
      </c>
    </row>
    <row r="132" spans="1:11" outlineLevel="2">
      <c r="A132" s="15">
        <v>131</v>
      </c>
      <c r="B132" s="16" t="s">
        <v>321</v>
      </c>
      <c r="C132" s="16" t="s">
        <v>338</v>
      </c>
      <c r="D132" s="15">
        <v>3</v>
      </c>
      <c r="E132" s="17" t="s">
        <v>19</v>
      </c>
      <c r="F132" s="15">
        <v>211</v>
      </c>
      <c r="G132" s="18" t="s">
        <v>341</v>
      </c>
      <c r="H132" s="19" t="s">
        <v>14</v>
      </c>
      <c r="I132" s="16"/>
      <c r="J132" s="15">
        <v>218</v>
      </c>
      <c r="K132" s="20" t="s">
        <v>342</v>
      </c>
    </row>
    <row r="133" spans="1:11" ht="25.5" outlineLevel="2">
      <c r="A133" s="15">
        <v>132</v>
      </c>
      <c r="B133" s="16" t="s">
        <v>321</v>
      </c>
      <c r="C133" s="16" t="s">
        <v>338</v>
      </c>
      <c r="D133" s="15">
        <v>3</v>
      </c>
      <c r="E133" s="17" t="s">
        <v>19</v>
      </c>
      <c r="F133" s="15">
        <v>217</v>
      </c>
      <c r="G133" s="18" t="s">
        <v>343</v>
      </c>
      <c r="H133" s="19" t="s">
        <v>14</v>
      </c>
      <c r="I133" s="16"/>
      <c r="J133" s="15">
        <v>218</v>
      </c>
      <c r="K133" s="20" t="s">
        <v>344</v>
      </c>
    </row>
    <row r="134" spans="1:11" outlineLevel="2">
      <c r="A134" s="15">
        <v>133</v>
      </c>
      <c r="B134" s="16" t="s">
        <v>321</v>
      </c>
      <c r="C134" s="16" t="s">
        <v>338</v>
      </c>
      <c r="D134" s="15">
        <v>3</v>
      </c>
      <c r="E134" s="17" t="s">
        <v>19</v>
      </c>
      <c r="F134" s="15">
        <v>253</v>
      </c>
      <c r="G134" s="18" t="s">
        <v>345</v>
      </c>
      <c r="H134" s="24" t="s">
        <v>146</v>
      </c>
      <c r="I134" s="16"/>
      <c r="J134" s="15">
        <v>218</v>
      </c>
      <c r="K134" s="20" t="s">
        <v>346</v>
      </c>
    </row>
    <row r="135" spans="1:11" outlineLevel="2">
      <c r="A135" s="15">
        <v>134</v>
      </c>
      <c r="B135" s="16" t="s">
        <v>321</v>
      </c>
      <c r="C135" s="16" t="s">
        <v>338</v>
      </c>
      <c r="D135" s="15">
        <v>3</v>
      </c>
      <c r="E135" s="17" t="s">
        <v>19</v>
      </c>
      <c r="F135" s="15">
        <v>254</v>
      </c>
      <c r="G135" s="18" t="s">
        <v>347</v>
      </c>
      <c r="H135" s="19" t="s">
        <v>14</v>
      </c>
      <c r="I135" s="16"/>
      <c r="J135" s="15">
        <v>218</v>
      </c>
      <c r="K135" s="20" t="s">
        <v>348</v>
      </c>
    </row>
    <row r="136" spans="1:11" outlineLevel="2">
      <c r="A136" s="15">
        <v>135</v>
      </c>
      <c r="B136" s="16" t="s">
        <v>321</v>
      </c>
      <c r="C136" s="16" t="s">
        <v>338</v>
      </c>
      <c r="D136" s="15">
        <v>3</v>
      </c>
      <c r="E136" s="17" t="s">
        <v>19</v>
      </c>
      <c r="F136" s="15">
        <v>255</v>
      </c>
      <c r="G136" s="18" t="s">
        <v>349</v>
      </c>
      <c r="H136" s="19" t="s">
        <v>14</v>
      </c>
      <c r="I136" s="16"/>
      <c r="J136" s="15">
        <v>218</v>
      </c>
      <c r="K136" s="20" t="s">
        <v>350</v>
      </c>
    </row>
    <row r="137" spans="1:11" outlineLevel="2">
      <c r="A137" s="15">
        <v>136</v>
      </c>
      <c r="B137" s="16" t="s">
        <v>321</v>
      </c>
      <c r="C137" s="16" t="s">
        <v>338</v>
      </c>
      <c r="D137" s="15">
        <v>3</v>
      </c>
      <c r="E137" s="17" t="s">
        <v>19</v>
      </c>
      <c r="F137" s="15">
        <v>256</v>
      </c>
      <c r="G137" s="18" t="s">
        <v>351</v>
      </c>
      <c r="H137" s="19" t="s">
        <v>14</v>
      </c>
      <c r="I137" s="16"/>
      <c r="J137" s="15">
        <v>218</v>
      </c>
      <c r="K137" s="20" t="s">
        <v>352</v>
      </c>
    </row>
    <row r="138" spans="1:11" outlineLevel="2">
      <c r="A138" s="15">
        <v>137</v>
      </c>
      <c r="B138" s="16" t="s">
        <v>321</v>
      </c>
      <c r="C138" s="16" t="s">
        <v>338</v>
      </c>
      <c r="D138" s="15">
        <v>3</v>
      </c>
      <c r="E138" s="17" t="s">
        <v>19</v>
      </c>
      <c r="F138" s="15">
        <v>262</v>
      </c>
      <c r="G138" s="18" t="s">
        <v>353</v>
      </c>
      <c r="H138" s="24" t="s">
        <v>146</v>
      </c>
      <c r="I138" s="16"/>
      <c r="J138" s="15">
        <v>218</v>
      </c>
      <c r="K138" s="20" t="s">
        <v>354</v>
      </c>
    </row>
    <row r="139" spans="1:11" outlineLevel="1">
      <c r="A139" s="9">
        <v>138</v>
      </c>
      <c r="B139" s="10" t="s">
        <v>321</v>
      </c>
      <c r="C139" s="10" t="s">
        <v>355</v>
      </c>
      <c r="D139" s="9">
        <v>2</v>
      </c>
      <c r="E139" s="11" t="s">
        <v>2</v>
      </c>
      <c r="F139" s="9">
        <v>282</v>
      </c>
      <c r="G139" s="12" t="s">
        <v>356</v>
      </c>
      <c r="H139" s="23" t="s">
        <v>146</v>
      </c>
      <c r="I139" s="10"/>
      <c r="J139" s="9">
        <v>207</v>
      </c>
      <c r="K139" s="14" t="s">
        <v>357</v>
      </c>
    </row>
    <row r="140" spans="1:11" outlineLevel="2">
      <c r="A140" s="15">
        <v>139</v>
      </c>
      <c r="B140" s="16" t="s">
        <v>321</v>
      </c>
      <c r="C140" s="16" t="s">
        <v>355</v>
      </c>
      <c r="D140" s="15">
        <v>3</v>
      </c>
      <c r="E140" s="17" t="s">
        <v>19</v>
      </c>
      <c r="F140" s="15">
        <v>213</v>
      </c>
      <c r="G140" s="18" t="s">
        <v>358</v>
      </c>
      <c r="H140" s="24" t="s">
        <v>146</v>
      </c>
      <c r="I140" s="16"/>
      <c r="J140" s="15">
        <v>282</v>
      </c>
      <c r="K140" s="20" t="s">
        <v>359</v>
      </c>
    </row>
    <row r="141" spans="1:11">
      <c r="A141" s="3">
        <v>140</v>
      </c>
      <c r="B141" s="4" t="s">
        <v>360</v>
      </c>
      <c r="C141" s="4"/>
      <c r="D141" s="3">
        <v>1</v>
      </c>
      <c r="E141" s="5" t="s">
        <v>1</v>
      </c>
      <c r="F141" s="3">
        <v>208</v>
      </c>
      <c r="G141" s="6" t="s">
        <v>361</v>
      </c>
      <c r="H141" s="7" t="s">
        <v>14</v>
      </c>
      <c r="I141" s="4"/>
      <c r="J141" s="3"/>
      <c r="K141" s="8" t="s">
        <v>362</v>
      </c>
    </row>
    <row r="142" spans="1:11" outlineLevel="1">
      <c r="A142" s="9">
        <v>141</v>
      </c>
      <c r="B142" s="10" t="s">
        <v>360</v>
      </c>
      <c r="C142" s="10" t="s">
        <v>363</v>
      </c>
      <c r="D142" s="9">
        <v>2</v>
      </c>
      <c r="E142" s="11" t="s">
        <v>2</v>
      </c>
      <c r="F142" s="9">
        <v>283</v>
      </c>
      <c r="G142" s="12" t="s">
        <v>364</v>
      </c>
      <c r="H142" s="23" t="s">
        <v>146</v>
      </c>
      <c r="I142" s="10"/>
      <c r="J142" s="9">
        <v>208</v>
      </c>
      <c r="K142" s="14" t="s">
        <v>365</v>
      </c>
    </row>
    <row r="143" spans="1:11" outlineLevel="2">
      <c r="A143" s="15">
        <v>142</v>
      </c>
      <c r="B143" s="16" t="s">
        <v>360</v>
      </c>
      <c r="C143" s="16" t="s">
        <v>363</v>
      </c>
      <c r="D143" s="15">
        <v>3</v>
      </c>
      <c r="E143" s="17" t="s">
        <v>19</v>
      </c>
      <c r="F143" s="15">
        <v>165</v>
      </c>
      <c r="G143" s="18" t="s">
        <v>366</v>
      </c>
      <c r="H143" s="19" t="s">
        <v>14</v>
      </c>
      <c r="I143" s="16"/>
      <c r="J143" s="15">
        <v>283</v>
      </c>
      <c r="K143" s="20" t="s">
        <v>367</v>
      </c>
    </row>
    <row r="144" spans="1:11" outlineLevel="2">
      <c r="A144" s="15">
        <v>143</v>
      </c>
      <c r="B144" s="16" t="s">
        <v>360</v>
      </c>
      <c r="C144" s="16" t="s">
        <v>363</v>
      </c>
      <c r="D144" s="15">
        <v>3</v>
      </c>
      <c r="E144" s="17" t="s">
        <v>19</v>
      </c>
      <c r="F144" s="15">
        <v>167</v>
      </c>
      <c r="G144" s="18" t="s">
        <v>368</v>
      </c>
      <c r="H144" s="19" t="s">
        <v>14</v>
      </c>
      <c r="I144" s="16"/>
      <c r="J144" s="15">
        <v>283</v>
      </c>
      <c r="K144" s="20" t="s">
        <v>369</v>
      </c>
    </row>
    <row r="145" spans="1:11" outlineLevel="2">
      <c r="A145" s="15">
        <v>144</v>
      </c>
      <c r="B145" s="16" t="s">
        <v>360</v>
      </c>
      <c r="C145" s="16" t="s">
        <v>363</v>
      </c>
      <c r="D145" s="15">
        <v>3</v>
      </c>
      <c r="E145" s="17" t="s">
        <v>19</v>
      </c>
      <c r="F145" s="15">
        <v>169</v>
      </c>
      <c r="G145" s="18" t="s">
        <v>370</v>
      </c>
      <c r="H145" s="19" t="s">
        <v>14</v>
      </c>
      <c r="I145" s="16"/>
      <c r="J145" s="15">
        <v>283</v>
      </c>
      <c r="K145" s="20" t="s">
        <v>371</v>
      </c>
    </row>
    <row r="146" spans="1:11" outlineLevel="1">
      <c r="A146" s="9">
        <v>145</v>
      </c>
      <c r="B146" s="10" t="s">
        <v>360</v>
      </c>
      <c r="C146" s="10" t="s">
        <v>372</v>
      </c>
      <c r="D146" s="9">
        <v>2</v>
      </c>
      <c r="E146" s="11" t="s">
        <v>2</v>
      </c>
      <c r="F146" s="9">
        <v>285</v>
      </c>
      <c r="G146" s="12" t="s">
        <v>373</v>
      </c>
      <c r="H146" s="23" t="s">
        <v>146</v>
      </c>
      <c r="I146" s="10"/>
      <c r="J146" s="9">
        <v>208</v>
      </c>
      <c r="K146" s="14" t="s">
        <v>374</v>
      </c>
    </row>
    <row r="147" spans="1:11" outlineLevel="2">
      <c r="A147" s="15">
        <v>146</v>
      </c>
      <c r="B147" s="16" t="s">
        <v>360</v>
      </c>
      <c r="C147" s="16" t="s">
        <v>372</v>
      </c>
      <c r="D147" s="15">
        <v>3</v>
      </c>
      <c r="E147" s="17" t="s">
        <v>19</v>
      </c>
      <c r="F147" s="15">
        <v>234</v>
      </c>
      <c r="G147" s="18" t="s">
        <v>375</v>
      </c>
      <c r="H147" s="19" t="s">
        <v>14</v>
      </c>
      <c r="I147" s="16"/>
      <c r="J147" s="15">
        <v>285</v>
      </c>
      <c r="K147" s="20" t="s">
        <v>376</v>
      </c>
    </row>
    <row r="148" spans="1:11" outlineLevel="2">
      <c r="A148" s="15">
        <v>147</v>
      </c>
      <c r="B148" s="16" t="s">
        <v>360</v>
      </c>
      <c r="C148" s="16" t="s">
        <v>372</v>
      </c>
      <c r="D148" s="15">
        <v>3</v>
      </c>
      <c r="E148" s="17" t="s">
        <v>19</v>
      </c>
      <c r="F148" s="15">
        <v>235</v>
      </c>
      <c r="G148" s="18" t="s">
        <v>377</v>
      </c>
      <c r="H148" s="19" t="s">
        <v>14</v>
      </c>
      <c r="I148" s="16"/>
      <c r="J148" s="15">
        <v>285</v>
      </c>
      <c r="K148" s="20" t="s">
        <v>378</v>
      </c>
    </row>
    <row r="149" spans="1:11" outlineLevel="2">
      <c r="A149" s="15">
        <v>148</v>
      </c>
      <c r="B149" s="16" t="s">
        <v>360</v>
      </c>
      <c r="C149" s="16" t="s">
        <v>372</v>
      </c>
      <c r="D149" s="15">
        <v>3</v>
      </c>
      <c r="E149" s="17" t="s">
        <v>19</v>
      </c>
      <c r="F149" s="15">
        <v>236</v>
      </c>
      <c r="G149" s="18" t="s">
        <v>379</v>
      </c>
      <c r="H149" s="19" t="s">
        <v>14</v>
      </c>
      <c r="I149" s="16"/>
      <c r="J149" s="15">
        <v>285</v>
      </c>
      <c r="K149" s="20" t="s">
        <v>380</v>
      </c>
    </row>
    <row r="150" spans="1:11" outlineLevel="2">
      <c r="A150" s="15">
        <v>149</v>
      </c>
      <c r="B150" s="16" t="s">
        <v>360</v>
      </c>
      <c r="C150" s="16" t="s">
        <v>372</v>
      </c>
      <c r="D150" s="15">
        <v>3</v>
      </c>
      <c r="E150" s="17" t="s">
        <v>19</v>
      </c>
      <c r="F150" s="15">
        <v>240</v>
      </c>
      <c r="G150" s="18" t="s">
        <v>381</v>
      </c>
      <c r="H150" s="19" t="s">
        <v>14</v>
      </c>
      <c r="I150" s="16"/>
      <c r="J150" s="15">
        <v>285</v>
      </c>
      <c r="K150" s="20" t="s">
        <v>382</v>
      </c>
    </row>
    <row r="151" spans="1:11" outlineLevel="1">
      <c r="A151" s="9">
        <v>150</v>
      </c>
      <c r="B151" s="10" t="s">
        <v>360</v>
      </c>
      <c r="C151" s="10" t="s">
        <v>383</v>
      </c>
      <c r="D151" s="9">
        <v>2</v>
      </c>
      <c r="E151" s="11" t="s">
        <v>2</v>
      </c>
      <c r="F151" s="9">
        <v>286</v>
      </c>
      <c r="G151" s="12" t="s">
        <v>384</v>
      </c>
      <c r="H151" s="23" t="s">
        <v>146</v>
      </c>
      <c r="I151" s="10"/>
      <c r="J151" s="9">
        <v>208</v>
      </c>
      <c r="K151" s="14" t="s">
        <v>385</v>
      </c>
    </row>
    <row r="152" spans="1:11" outlineLevel="2">
      <c r="A152" s="15">
        <v>151</v>
      </c>
      <c r="B152" s="16" t="s">
        <v>360</v>
      </c>
      <c r="C152" s="16" t="s">
        <v>383</v>
      </c>
      <c r="D152" s="15">
        <v>3</v>
      </c>
      <c r="E152" s="17" t="s">
        <v>19</v>
      </c>
      <c r="F152" s="15">
        <v>233</v>
      </c>
      <c r="G152" s="18" t="s">
        <v>386</v>
      </c>
      <c r="H152" s="19" t="s">
        <v>14</v>
      </c>
      <c r="I152" s="16"/>
      <c r="J152" s="15">
        <v>286</v>
      </c>
      <c r="K152" s="20" t="s">
        <v>387</v>
      </c>
    </row>
    <row r="153" spans="1:11" outlineLevel="2">
      <c r="A153" s="15">
        <v>152</v>
      </c>
      <c r="B153" s="16" t="s">
        <v>360</v>
      </c>
      <c r="C153" s="16" t="s">
        <v>383</v>
      </c>
      <c r="D153" s="15">
        <v>3</v>
      </c>
      <c r="E153" s="17" t="s">
        <v>19</v>
      </c>
      <c r="F153" s="15">
        <v>259</v>
      </c>
      <c r="G153" s="18" t="s">
        <v>388</v>
      </c>
      <c r="H153" s="19" t="s">
        <v>14</v>
      </c>
      <c r="I153" s="16" t="s">
        <v>389</v>
      </c>
      <c r="J153" s="15">
        <v>286</v>
      </c>
      <c r="K153" s="20" t="s">
        <v>390</v>
      </c>
    </row>
    <row r="154" spans="1:11" outlineLevel="2">
      <c r="A154" s="15">
        <v>153</v>
      </c>
      <c r="B154" s="16" t="s">
        <v>360</v>
      </c>
      <c r="C154" s="16" t="s">
        <v>383</v>
      </c>
      <c r="D154" s="15">
        <v>3</v>
      </c>
      <c r="E154" s="17" t="s">
        <v>19</v>
      </c>
      <c r="F154" s="15">
        <v>265</v>
      </c>
      <c r="G154" s="18" t="s">
        <v>391</v>
      </c>
      <c r="H154" s="24" t="s">
        <v>146</v>
      </c>
      <c r="I154" s="16" t="s">
        <v>392</v>
      </c>
      <c r="J154" s="15">
        <v>286</v>
      </c>
      <c r="K154" s="20" t="s">
        <v>393</v>
      </c>
    </row>
    <row r="155" spans="1:11" outlineLevel="1">
      <c r="A155" s="9">
        <v>154</v>
      </c>
      <c r="B155" s="10" t="s">
        <v>360</v>
      </c>
      <c r="C155" s="10" t="s">
        <v>394</v>
      </c>
      <c r="D155" s="9">
        <v>2</v>
      </c>
      <c r="E155" s="11" t="s">
        <v>2</v>
      </c>
      <c r="F155" s="9">
        <v>287</v>
      </c>
      <c r="G155" s="12" t="s">
        <v>395</v>
      </c>
      <c r="H155" s="23" t="s">
        <v>146</v>
      </c>
      <c r="I155" s="10"/>
      <c r="J155" s="9">
        <v>208</v>
      </c>
      <c r="K155" s="14" t="s">
        <v>396</v>
      </c>
    </row>
    <row r="156" spans="1:11" outlineLevel="2">
      <c r="A156" s="15">
        <v>155</v>
      </c>
      <c r="B156" s="16" t="s">
        <v>360</v>
      </c>
      <c r="C156" s="16" t="s">
        <v>394</v>
      </c>
      <c r="D156" s="15">
        <v>3</v>
      </c>
      <c r="E156" s="17" t="s">
        <v>19</v>
      </c>
      <c r="F156" s="15">
        <v>134</v>
      </c>
      <c r="G156" s="18" t="s">
        <v>397</v>
      </c>
      <c r="H156" s="19" t="s">
        <v>14</v>
      </c>
      <c r="I156" s="16" t="s">
        <v>398</v>
      </c>
      <c r="J156" s="15">
        <v>287</v>
      </c>
      <c r="K156" s="20" t="s">
        <v>399</v>
      </c>
    </row>
    <row r="157" spans="1:11" outlineLevel="2">
      <c r="A157" s="15">
        <v>156</v>
      </c>
      <c r="B157" s="16" t="s">
        <v>360</v>
      </c>
      <c r="C157" s="16" t="s">
        <v>394</v>
      </c>
      <c r="D157" s="15">
        <v>3</v>
      </c>
      <c r="E157" s="17" t="s">
        <v>19</v>
      </c>
      <c r="F157" s="15">
        <v>241</v>
      </c>
      <c r="G157" s="18" t="s">
        <v>400</v>
      </c>
      <c r="H157" s="19" t="s">
        <v>14</v>
      </c>
      <c r="I157" s="16"/>
      <c r="J157" s="15">
        <v>287</v>
      </c>
      <c r="K157" s="20" t="s">
        <v>401</v>
      </c>
    </row>
    <row r="158" spans="1:11" outlineLevel="2">
      <c r="A158" s="15">
        <v>157</v>
      </c>
      <c r="B158" s="16" t="s">
        <v>360</v>
      </c>
      <c r="C158" s="16" t="s">
        <v>394</v>
      </c>
      <c r="D158" s="15">
        <v>3</v>
      </c>
      <c r="E158" s="17" t="s">
        <v>19</v>
      </c>
      <c r="F158" s="15">
        <v>244</v>
      </c>
      <c r="G158" s="18" t="s">
        <v>402</v>
      </c>
      <c r="H158" s="19" t="s">
        <v>14</v>
      </c>
      <c r="I158" s="16"/>
      <c r="J158" s="15">
        <v>287</v>
      </c>
      <c r="K158" s="20" t="s">
        <v>403</v>
      </c>
    </row>
    <row r="159" spans="1:11" outlineLevel="2">
      <c r="A159" s="15">
        <v>158</v>
      </c>
      <c r="B159" s="16" t="s">
        <v>360</v>
      </c>
      <c r="C159" s="16" t="s">
        <v>394</v>
      </c>
      <c r="D159" s="15">
        <v>3</v>
      </c>
      <c r="E159" s="17" t="s">
        <v>19</v>
      </c>
      <c r="F159" s="15">
        <v>288</v>
      </c>
      <c r="G159" s="18" t="s">
        <v>404</v>
      </c>
      <c r="H159" s="24" t="s">
        <v>146</v>
      </c>
      <c r="I159" s="16"/>
      <c r="J159" s="15">
        <v>287</v>
      </c>
      <c r="K159" s="20" t="s">
        <v>405</v>
      </c>
    </row>
    <row r="160" spans="1:11" outlineLevel="1">
      <c r="A160" s="9">
        <v>159</v>
      </c>
      <c r="B160" s="10" t="s">
        <v>360</v>
      </c>
      <c r="C160" s="10" t="s">
        <v>406</v>
      </c>
      <c r="D160" s="9">
        <v>2</v>
      </c>
      <c r="E160" s="11" t="s">
        <v>2</v>
      </c>
      <c r="F160" s="9">
        <v>289</v>
      </c>
      <c r="G160" s="12" t="s">
        <v>407</v>
      </c>
      <c r="H160" s="23" t="s">
        <v>146</v>
      </c>
      <c r="I160" s="10"/>
      <c r="J160" s="9">
        <v>208</v>
      </c>
      <c r="K160" s="14" t="s">
        <v>408</v>
      </c>
    </row>
  </sheetData>
  <autoFilter ref="A1:K160" xr:uid="{00000000-0009-0000-0000-000000000000}"/>
  <phoneticPr fontId="16" type="noConversion"/>
  <dataValidations count="2">
    <dataValidation type="list" sqref="E2:E160" xr:uid="{00000000-0002-0000-0000-000000000000}">
      <formula1>"Epic,Story,Task,Bug"</formula1>
      <formula2>0</formula2>
    </dataValidation>
    <dataValidation type="list" sqref="H2:H160" xr:uid="{00000000-0002-0000-0000-000001000000}">
      <formula1>"Open,Closed"</formula1>
      <formula2>0</formula2>
    </dataValidation>
  </dataValidations>
  <hyperlinks>
    <hyperlink ref="K2" r:id="rId1" xr:uid="{00000000-0004-0000-0000-000000000000}"/>
    <hyperlink ref="K3" r:id="rId2" xr:uid="{00000000-0004-0000-0000-000001000000}"/>
    <hyperlink ref="K4" r:id="rId3" xr:uid="{00000000-0004-0000-0000-000002000000}"/>
    <hyperlink ref="K5" r:id="rId4" xr:uid="{00000000-0004-0000-0000-000003000000}"/>
    <hyperlink ref="K6" r:id="rId5" xr:uid="{00000000-0004-0000-0000-000004000000}"/>
    <hyperlink ref="K7" r:id="rId6" xr:uid="{00000000-0004-0000-0000-000005000000}"/>
    <hyperlink ref="K8" r:id="rId7" xr:uid="{00000000-0004-0000-0000-000006000000}"/>
    <hyperlink ref="K9" r:id="rId8" xr:uid="{00000000-0004-0000-0000-000007000000}"/>
    <hyperlink ref="K10" r:id="rId9" xr:uid="{00000000-0004-0000-0000-000008000000}"/>
    <hyperlink ref="K11" r:id="rId10" xr:uid="{00000000-0004-0000-0000-000009000000}"/>
    <hyperlink ref="K12" r:id="rId11" xr:uid="{00000000-0004-0000-0000-00000A000000}"/>
    <hyperlink ref="K13" r:id="rId12" xr:uid="{00000000-0004-0000-0000-00000B000000}"/>
    <hyperlink ref="K14" r:id="rId13" xr:uid="{00000000-0004-0000-0000-00000C000000}"/>
    <hyperlink ref="K15" r:id="rId14" xr:uid="{00000000-0004-0000-0000-00000D000000}"/>
    <hyperlink ref="K16" r:id="rId15" xr:uid="{00000000-0004-0000-0000-00000E000000}"/>
    <hyperlink ref="K17" r:id="rId16" xr:uid="{00000000-0004-0000-0000-00000F000000}"/>
    <hyperlink ref="K18" r:id="rId17" xr:uid="{00000000-0004-0000-0000-000010000000}"/>
    <hyperlink ref="K19" r:id="rId18" xr:uid="{00000000-0004-0000-0000-000011000000}"/>
    <hyperlink ref="K20" r:id="rId19" xr:uid="{00000000-0004-0000-0000-000012000000}"/>
    <hyperlink ref="K21" r:id="rId20" xr:uid="{00000000-0004-0000-0000-000013000000}"/>
    <hyperlink ref="K22" r:id="rId21" xr:uid="{00000000-0004-0000-0000-000014000000}"/>
    <hyperlink ref="K23" r:id="rId22" xr:uid="{00000000-0004-0000-0000-000015000000}"/>
    <hyperlink ref="K24" r:id="rId23" xr:uid="{00000000-0004-0000-0000-000016000000}"/>
    <hyperlink ref="K25" r:id="rId24" xr:uid="{00000000-0004-0000-0000-000017000000}"/>
    <hyperlink ref="K26" r:id="rId25" xr:uid="{00000000-0004-0000-0000-000018000000}"/>
    <hyperlink ref="K27" r:id="rId26" xr:uid="{00000000-0004-0000-0000-000019000000}"/>
    <hyperlink ref="K28" r:id="rId27" xr:uid="{00000000-0004-0000-0000-00001A000000}"/>
    <hyperlink ref="K29" r:id="rId28" xr:uid="{00000000-0004-0000-0000-00001B000000}"/>
    <hyperlink ref="K30" r:id="rId29" xr:uid="{00000000-0004-0000-0000-00001C000000}"/>
    <hyperlink ref="K31" r:id="rId30" xr:uid="{00000000-0004-0000-0000-00001D000000}"/>
    <hyperlink ref="K32" r:id="rId31" xr:uid="{00000000-0004-0000-0000-00001E000000}"/>
    <hyperlink ref="K33" r:id="rId32" xr:uid="{00000000-0004-0000-0000-00001F000000}"/>
    <hyperlink ref="K34" r:id="rId33" xr:uid="{00000000-0004-0000-0000-000020000000}"/>
    <hyperlink ref="K35" r:id="rId34" xr:uid="{00000000-0004-0000-0000-000021000000}"/>
    <hyperlink ref="K36" r:id="rId35" xr:uid="{00000000-0004-0000-0000-000022000000}"/>
    <hyperlink ref="K37" r:id="rId36" xr:uid="{00000000-0004-0000-0000-000023000000}"/>
    <hyperlink ref="K38" r:id="rId37" xr:uid="{00000000-0004-0000-0000-000024000000}"/>
    <hyperlink ref="K39" r:id="rId38" xr:uid="{00000000-0004-0000-0000-000025000000}"/>
    <hyperlink ref="K40" r:id="rId39" xr:uid="{00000000-0004-0000-0000-000026000000}"/>
    <hyperlink ref="K41" r:id="rId40" xr:uid="{00000000-0004-0000-0000-000027000000}"/>
    <hyperlink ref="K42" r:id="rId41" xr:uid="{00000000-0004-0000-0000-000028000000}"/>
    <hyperlink ref="K43" r:id="rId42" xr:uid="{00000000-0004-0000-0000-000029000000}"/>
    <hyperlink ref="K44" r:id="rId43" xr:uid="{00000000-0004-0000-0000-00002A000000}"/>
    <hyperlink ref="K45" r:id="rId44" xr:uid="{00000000-0004-0000-0000-00002B000000}"/>
    <hyperlink ref="K46" r:id="rId45" xr:uid="{00000000-0004-0000-0000-00002C000000}"/>
    <hyperlink ref="K47" r:id="rId46" xr:uid="{00000000-0004-0000-0000-00002D000000}"/>
    <hyperlink ref="K48" r:id="rId47" xr:uid="{00000000-0004-0000-0000-00002E000000}"/>
    <hyperlink ref="K49" r:id="rId48" xr:uid="{00000000-0004-0000-0000-00002F000000}"/>
    <hyperlink ref="K50" r:id="rId49" xr:uid="{00000000-0004-0000-0000-000030000000}"/>
    <hyperlink ref="K51" r:id="rId50" xr:uid="{00000000-0004-0000-0000-000031000000}"/>
    <hyperlink ref="K52" r:id="rId51" xr:uid="{00000000-0004-0000-0000-000032000000}"/>
    <hyperlink ref="K53" r:id="rId52" xr:uid="{00000000-0004-0000-0000-000033000000}"/>
    <hyperlink ref="K54" r:id="rId53" xr:uid="{00000000-0004-0000-0000-000034000000}"/>
    <hyperlink ref="K55" r:id="rId54" xr:uid="{00000000-0004-0000-0000-000035000000}"/>
    <hyperlink ref="K56" r:id="rId55" xr:uid="{00000000-0004-0000-0000-000036000000}"/>
    <hyperlink ref="K57" r:id="rId56" xr:uid="{00000000-0004-0000-0000-000037000000}"/>
    <hyperlink ref="K58" r:id="rId57" xr:uid="{00000000-0004-0000-0000-000038000000}"/>
    <hyperlink ref="K59" r:id="rId58" xr:uid="{00000000-0004-0000-0000-000039000000}"/>
    <hyperlink ref="K60" r:id="rId59" xr:uid="{00000000-0004-0000-0000-00003A000000}"/>
    <hyperlink ref="K61" r:id="rId60" xr:uid="{00000000-0004-0000-0000-00003B000000}"/>
    <hyperlink ref="K62" r:id="rId61" xr:uid="{00000000-0004-0000-0000-00003C000000}"/>
    <hyperlink ref="K63" r:id="rId62" xr:uid="{00000000-0004-0000-0000-00003D000000}"/>
    <hyperlink ref="K64" r:id="rId63" xr:uid="{00000000-0004-0000-0000-00003E000000}"/>
    <hyperlink ref="K65" r:id="rId64" xr:uid="{00000000-0004-0000-0000-00003F000000}"/>
    <hyperlink ref="K66" r:id="rId65" xr:uid="{00000000-0004-0000-0000-000040000000}"/>
    <hyperlink ref="K67" r:id="rId66" xr:uid="{00000000-0004-0000-0000-000041000000}"/>
    <hyperlink ref="K68" r:id="rId67" xr:uid="{00000000-0004-0000-0000-000042000000}"/>
    <hyperlink ref="K69" r:id="rId68" xr:uid="{00000000-0004-0000-0000-000043000000}"/>
    <hyperlink ref="K70" r:id="rId69" xr:uid="{00000000-0004-0000-0000-000044000000}"/>
    <hyperlink ref="K71" r:id="rId70" xr:uid="{00000000-0004-0000-0000-000045000000}"/>
    <hyperlink ref="K72" r:id="rId71" xr:uid="{00000000-0004-0000-0000-000046000000}"/>
    <hyperlink ref="K73" r:id="rId72" xr:uid="{00000000-0004-0000-0000-000047000000}"/>
    <hyperlink ref="K74" r:id="rId73" xr:uid="{00000000-0004-0000-0000-000048000000}"/>
    <hyperlink ref="K75" r:id="rId74" xr:uid="{00000000-0004-0000-0000-000049000000}"/>
    <hyperlink ref="K76" r:id="rId75" xr:uid="{00000000-0004-0000-0000-00004A000000}"/>
    <hyperlink ref="K77" r:id="rId76" xr:uid="{00000000-0004-0000-0000-00004B000000}"/>
    <hyperlink ref="K78" r:id="rId77" xr:uid="{00000000-0004-0000-0000-00004C000000}"/>
    <hyperlink ref="K79" r:id="rId78" xr:uid="{00000000-0004-0000-0000-00004D000000}"/>
    <hyperlink ref="K80" r:id="rId79" xr:uid="{00000000-0004-0000-0000-00004E000000}"/>
    <hyperlink ref="K81" r:id="rId80" xr:uid="{00000000-0004-0000-0000-00004F000000}"/>
    <hyperlink ref="K82" r:id="rId81" xr:uid="{00000000-0004-0000-0000-000050000000}"/>
    <hyperlink ref="K83" r:id="rId82" xr:uid="{00000000-0004-0000-0000-000051000000}"/>
    <hyperlink ref="K84" r:id="rId83" xr:uid="{00000000-0004-0000-0000-000052000000}"/>
    <hyperlink ref="K85" r:id="rId84" xr:uid="{00000000-0004-0000-0000-000053000000}"/>
    <hyperlink ref="K86" r:id="rId85" xr:uid="{00000000-0004-0000-0000-000054000000}"/>
    <hyperlink ref="K87" r:id="rId86" xr:uid="{00000000-0004-0000-0000-000055000000}"/>
    <hyperlink ref="K88" r:id="rId87" xr:uid="{00000000-0004-0000-0000-000056000000}"/>
    <hyperlink ref="K89" r:id="rId88" xr:uid="{00000000-0004-0000-0000-000057000000}"/>
    <hyperlink ref="K90" r:id="rId89" xr:uid="{00000000-0004-0000-0000-000058000000}"/>
    <hyperlink ref="K91" r:id="rId90" xr:uid="{00000000-0004-0000-0000-000059000000}"/>
    <hyperlink ref="K92" r:id="rId91" xr:uid="{00000000-0004-0000-0000-00005A000000}"/>
    <hyperlink ref="K93" r:id="rId92" xr:uid="{00000000-0004-0000-0000-00005B000000}"/>
    <hyperlink ref="K94" r:id="rId93" xr:uid="{00000000-0004-0000-0000-00005C000000}"/>
    <hyperlink ref="K95" r:id="rId94" xr:uid="{00000000-0004-0000-0000-00005D000000}"/>
    <hyperlink ref="K96" r:id="rId95" xr:uid="{00000000-0004-0000-0000-00005E000000}"/>
    <hyperlink ref="K97" r:id="rId96" xr:uid="{00000000-0004-0000-0000-00005F000000}"/>
    <hyperlink ref="K98" r:id="rId97" xr:uid="{00000000-0004-0000-0000-000060000000}"/>
    <hyperlink ref="K99" r:id="rId98" xr:uid="{00000000-0004-0000-0000-000061000000}"/>
    <hyperlink ref="K100" r:id="rId99" xr:uid="{00000000-0004-0000-0000-000062000000}"/>
    <hyperlink ref="K101" r:id="rId100" xr:uid="{00000000-0004-0000-0000-000063000000}"/>
    <hyperlink ref="K102" r:id="rId101" xr:uid="{00000000-0004-0000-0000-000064000000}"/>
    <hyperlink ref="K103" r:id="rId102" xr:uid="{00000000-0004-0000-0000-000065000000}"/>
    <hyperlink ref="K104" r:id="rId103" xr:uid="{00000000-0004-0000-0000-000066000000}"/>
    <hyperlink ref="K105" r:id="rId104" xr:uid="{00000000-0004-0000-0000-000067000000}"/>
    <hyperlink ref="K106" r:id="rId105" xr:uid="{00000000-0004-0000-0000-000068000000}"/>
    <hyperlink ref="K107" r:id="rId106" xr:uid="{00000000-0004-0000-0000-000069000000}"/>
    <hyperlink ref="K108" r:id="rId107" xr:uid="{00000000-0004-0000-0000-00006A000000}"/>
    <hyperlink ref="K109" r:id="rId108" xr:uid="{00000000-0004-0000-0000-00006B000000}"/>
    <hyperlink ref="K110" r:id="rId109" xr:uid="{00000000-0004-0000-0000-00006C000000}"/>
    <hyperlink ref="K111" r:id="rId110" xr:uid="{00000000-0004-0000-0000-00006D000000}"/>
    <hyperlink ref="K112" r:id="rId111" xr:uid="{00000000-0004-0000-0000-00006E000000}"/>
    <hyperlink ref="K113" r:id="rId112" xr:uid="{00000000-0004-0000-0000-00006F000000}"/>
    <hyperlink ref="K114" r:id="rId113" xr:uid="{00000000-0004-0000-0000-000070000000}"/>
    <hyperlink ref="K115" r:id="rId114" xr:uid="{00000000-0004-0000-0000-000071000000}"/>
    <hyperlink ref="K116" r:id="rId115" xr:uid="{00000000-0004-0000-0000-000072000000}"/>
    <hyperlink ref="K117" r:id="rId116" xr:uid="{00000000-0004-0000-0000-000073000000}"/>
    <hyperlink ref="K118" r:id="rId117" xr:uid="{00000000-0004-0000-0000-000074000000}"/>
    <hyperlink ref="K119" r:id="rId118" xr:uid="{00000000-0004-0000-0000-000075000000}"/>
    <hyperlink ref="K120" r:id="rId119" xr:uid="{00000000-0004-0000-0000-000076000000}"/>
    <hyperlink ref="K121" r:id="rId120" xr:uid="{00000000-0004-0000-0000-000077000000}"/>
    <hyperlink ref="K122" r:id="rId121" xr:uid="{00000000-0004-0000-0000-000078000000}"/>
    <hyperlink ref="K123" r:id="rId122" xr:uid="{00000000-0004-0000-0000-000079000000}"/>
    <hyperlink ref="K124" r:id="rId123" xr:uid="{00000000-0004-0000-0000-00007A000000}"/>
    <hyperlink ref="K125" r:id="rId124" xr:uid="{00000000-0004-0000-0000-00007B000000}"/>
    <hyperlink ref="K126" r:id="rId125" xr:uid="{00000000-0004-0000-0000-00007C000000}"/>
    <hyperlink ref="K127" r:id="rId126" xr:uid="{00000000-0004-0000-0000-00007D000000}"/>
    <hyperlink ref="K128" r:id="rId127" xr:uid="{00000000-0004-0000-0000-00007E000000}"/>
    <hyperlink ref="K129" r:id="rId128" xr:uid="{00000000-0004-0000-0000-00007F000000}"/>
    <hyperlink ref="K130" r:id="rId129" xr:uid="{00000000-0004-0000-0000-000080000000}"/>
    <hyperlink ref="K131" r:id="rId130" xr:uid="{00000000-0004-0000-0000-000081000000}"/>
    <hyperlink ref="K132" r:id="rId131" xr:uid="{00000000-0004-0000-0000-000082000000}"/>
    <hyperlink ref="K133" r:id="rId132" xr:uid="{00000000-0004-0000-0000-000083000000}"/>
    <hyperlink ref="K134" r:id="rId133" xr:uid="{00000000-0004-0000-0000-000084000000}"/>
    <hyperlink ref="K135" r:id="rId134" xr:uid="{00000000-0004-0000-0000-000085000000}"/>
    <hyperlink ref="K136" r:id="rId135" xr:uid="{00000000-0004-0000-0000-000086000000}"/>
    <hyperlink ref="K137" r:id="rId136" xr:uid="{00000000-0004-0000-0000-000087000000}"/>
    <hyperlink ref="K138" r:id="rId137" xr:uid="{00000000-0004-0000-0000-000088000000}"/>
    <hyperlink ref="K139" r:id="rId138" xr:uid="{00000000-0004-0000-0000-000089000000}"/>
    <hyperlink ref="K140" r:id="rId139" xr:uid="{00000000-0004-0000-0000-00008A000000}"/>
    <hyperlink ref="K141" r:id="rId140" xr:uid="{00000000-0004-0000-0000-00008B000000}"/>
    <hyperlink ref="K142" r:id="rId141" xr:uid="{00000000-0004-0000-0000-00008C000000}"/>
    <hyperlink ref="K143" r:id="rId142" xr:uid="{00000000-0004-0000-0000-00008D000000}"/>
    <hyperlink ref="K144" r:id="rId143" xr:uid="{00000000-0004-0000-0000-00008E000000}"/>
    <hyperlink ref="K145" r:id="rId144" xr:uid="{00000000-0004-0000-0000-00008F000000}"/>
    <hyperlink ref="K146" r:id="rId145" xr:uid="{00000000-0004-0000-0000-000090000000}"/>
    <hyperlink ref="K147" r:id="rId146" xr:uid="{00000000-0004-0000-0000-000091000000}"/>
    <hyperlink ref="K148" r:id="rId147" xr:uid="{00000000-0004-0000-0000-000092000000}"/>
    <hyperlink ref="K149" r:id="rId148" xr:uid="{00000000-0004-0000-0000-000093000000}"/>
    <hyperlink ref="K150" r:id="rId149" xr:uid="{00000000-0004-0000-0000-000094000000}"/>
    <hyperlink ref="K151" r:id="rId150" xr:uid="{00000000-0004-0000-0000-000095000000}"/>
    <hyperlink ref="K152" r:id="rId151" xr:uid="{00000000-0004-0000-0000-000096000000}"/>
    <hyperlink ref="K153" r:id="rId152" xr:uid="{00000000-0004-0000-0000-000097000000}"/>
    <hyperlink ref="K154" r:id="rId153" xr:uid="{00000000-0004-0000-0000-000098000000}"/>
    <hyperlink ref="K155" r:id="rId154" xr:uid="{00000000-0004-0000-0000-000099000000}"/>
    <hyperlink ref="K156" r:id="rId155" xr:uid="{00000000-0004-0000-0000-00009A000000}"/>
    <hyperlink ref="K157" r:id="rId156" xr:uid="{00000000-0004-0000-0000-00009B000000}"/>
    <hyperlink ref="K158" r:id="rId157" xr:uid="{00000000-0004-0000-0000-00009C000000}"/>
    <hyperlink ref="K159" r:id="rId158" xr:uid="{00000000-0004-0000-0000-00009D000000}"/>
    <hyperlink ref="K160" r:id="rId159" xr:uid="{00000000-0004-0000-0000-00009E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25"/>
  <cols>
    <col min="1" max="1" width="10" customWidth="1"/>
    <col min="2" max="2" width="52" customWidth="1"/>
    <col min="3" max="5" width="9" customWidth="1"/>
    <col min="6" max="6" width="10" customWidth="1"/>
    <col min="7" max="8" width="8" customWidth="1"/>
    <col min="9" max="9" width="9" customWidth="1"/>
  </cols>
  <sheetData>
    <row r="1" spans="1:9">
      <c r="A1" s="1" t="s">
        <v>1</v>
      </c>
      <c r="B1" s="2" t="s">
        <v>6</v>
      </c>
      <c r="C1" s="1" t="s">
        <v>409</v>
      </c>
      <c r="D1" s="1" t="s">
        <v>410</v>
      </c>
      <c r="E1" s="1" t="s">
        <v>411</v>
      </c>
      <c r="F1" s="2" t="s">
        <v>412</v>
      </c>
      <c r="G1" s="1" t="s">
        <v>146</v>
      </c>
      <c r="H1" s="1" t="s">
        <v>14</v>
      </c>
      <c r="I1" s="2" t="s">
        <v>413</v>
      </c>
    </row>
    <row r="2" spans="1:9">
      <c r="A2" s="26" t="s">
        <v>12</v>
      </c>
      <c r="B2" s="27" t="s">
        <v>414</v>
      </c>
      <c r="C2" s="26">
        <f>COUNTIFS(백로그!$B$2:$B$160,$A2,백로그!$E$2:$E$160,"Story")</f>
        <v>2</v>
      </c>
      <c r="D2" s="26">
        <f>COUNTIFS(백로그!$B$2:$B$160,$A2,백로그!$E$2:$E$160,"Task")</f>
        <v>10</v>
      </c>
      <c r="E2" s="26">
        <f>COUNTIFS(백로그!$B$2:$B$160,$A2,백로그!$E$2:$E$160,"Bug")</f>
        <v>0</v>
      </c>
      <c r="F2" s="26">
        <f t="shared" ref="F2:F10" si="0">SUM(C2:E2)</f>
        <v>12</v>
      </c>
      <c r="G2" s="26">
        <f>COUNTIFS(백로그!$B$2:$B$160,$A2,백로그!$H$2:$H$160,"Open",백로그!$E$2:$E$160,"&lt;&gt;Epic")</f>
        <v>0</v>
      </c>
      <c r="H2" s="26">
        <f>COUNTIFS(백로그!$B$2:$B$160,$A2,백로그!$H$2:$H$160,"Closed",백로그!$E$2:$E$160,"&lt;&gt;Epic")</f>
        <v>12</v>
      </c>
      <c r="I2" s="28">
        <f t="shared" ref="I2:I11" si="1">IF(F2=0,0,H2/F2)</f>
        <v>1</v>
      </c>
    </row>
    <row r="3" spans="1:9">
      <c r="A3" s="26" t="s">
        <v>45</v>
      </c>
      <c r="B3" s="27" t="s">
        <v>415</v>
      </c>
      <c r="C3" s="26">
        <f>COUNTIFS(백로그!$B$2:$B$160,$A3,백로그!$E$2:$E$160,"Story")</f>
        <v>4</v>
      </c>
      <c r="D3" s="26">
        <f>COUNTIFS(백로그!$B$2:$B$160,$A3,백로그!$E$2:$E$160,"Task")</f>
        <v>19</v>
      </c>
      <c r="E3" s="26">
        <f>COUNTIFS(백로그!$B$2:$B$160,$A3,백로그!$E$2:$E$160,"Bug")</f>
        <v>1</v>
      </c>
      <c r="F3" s="26">
        <f t="shared" si="0"/>
        <v>24</v>
      </c>
      <c r="G3" s="26">
        <f>COUNTIFS(백로그!$B$2:$B$160,$A3,백로그!$H$2:$H$160,"Open",백로그!$E$2:$E$160,"&lt;&gt;Epic")</f>
        <v>0</v>
      </c>
      <c r="H3" s="26">
        <f>COUNTIFS(백로그!$B$2:$B$160,$A3,백로그!$H$2:$H$160,"Closed",백로그!$E$2:$E$160,"&lt;&gt;Epic")</f>
        <v>24</v>
      </c>
      <c r="I3" s="28">
        <f t="shared" si="1"/>
        <v>1</v>
      </c>
    </row>
    <row r="4" spans="1:9">
      <c r="A4" s="26" t="s">
        <v>107</v>
      </c>
      <c r="B4" s="27" t="s">
        <v>416</v>
      </c>
      <c r="C4" s="26">
        <f>COUNTIFS(백로그!$B$2:$B$160,$A4,백로그!$E$2:$E$160,"Story")</f>
        <v>5</v>
      </c>
      <c r="D4" s="26">
        <f>COUNTIFS(백로그!$B$2:$B$160,$A4,백로그!$E$2:$E$160,"Task")</f>
        <v>14</v>
      </c>
      <c r="E4" s="26">
        <f>COUNTIFS(백로그!$B$2:$B$160,$A4,백로그!$E$2:$E$160,"Bug")</f>
        <v>0</v>
      </c>
      <c r="F4" s="26">
        <f t="shared" si="0"/>
        <v>19</v>
      </c>
      <c r="G4" s="26">
        <f>COUNTIFS(백로그!$B$2:$B$160,$A4,백로그!$H$2:$H$160,"Open",백로그!$E$2:$E$160,"&lt;&gt;Epic")</f>
        <v>2</v>
      </c>
      <c r="H4" s="26">
        <f>COUNTIFS(백로그!$B$2:$B$160,$A4,백로그!$H$2:$H$160,"Closed",백로그!$E$2:$E$160,"&lt;&gt;Epic")</f>
        <v>17</v>
      </c>
      <c r="I4" s="28">
        <f t="shared" si="1"/>
        <v>0.89473684210526316</v>
      </c>
    </row>
    <row r="5" spans="1:9">
      <c r="A5" s="26" t="s">
        <v>160</v>
      </c>
      <c r="B5" s="27" t="s">
        <v>417</v>
      </c>
      <c r="C5" s="26">
        <f>COUNTIFS(백로그!$B$2:$B$160,$A5,백로그!$E$2:$E$160,"Story")</f>
        <v>4</v>
      </c>
      <c r="D5" s="26">
        <f>COUNTIFS(백로그!$B$2:$B$160,$A5,백로그!$E$2:$E$160,"Task")</f>
        <v>12</v>
      </c>
      <c r="E5" s="26">
        <f>COUNTIFS(백로그!$B$2:$B$160,$A5,백로그!$E$2:$E$160,"Bug")</f>
        <v>0</v>
      </c>
      <c r="F5" s="26">
        <f t="shared" si="0"/>
        <v>16</v>
      </c>
      <c r="G5" s="26">
        <f>COUNTIFS(백로그!$B$2:$B$160,$A5,백로그!$H$2:$H$160,"Open",백로그!$E$2:$E$160,"&lt;&gt;Epic")</f>
        <v>0</v>
      </c>
      <c r="H5" s="26">
        <f>COUNTIFS(백로그!$B$2:$B$160,$A5,백로그!$H$2:$H$160,"Closed",백로그!$E$2:$E$160,"&lt;&gt;Epic")</f>
        <v>16</v>
      </c>
      <c r="I5" s="28">
        <f t="shared" si="1"/>
        <v>1</v>
      </c>
    </row>
    <row r="6" spans="1:9">
      <c r="A6" s="26" t="s">
        <v>201</v>
      </c>
      <c r="B6" s="27" t="s">
        <v>418</v>
      </c>
      <c r="C6" s="26">
        <f>COUNTIFS(백로그!$B$2:$B$160,$A6,백로그!$E$2:$E$160,"Story")</f>
        <v>9</v>
      </c>
      <c r="D6" s="26">
        <f>COUNTIFS(백로그!$B$2:$B$160,$A6,백로그!$E$2:$E$160,"Task")</f>
        <v>4</v>
      </c>
      <c r="E6" s="26">
        <f>COUNTIFS(백로그!$B$2:$B$160,$A6,백로그!$E$2:$E$160,"Bug")</f>
        <v>0</v>
      </c>
      <c r="F6" s="26">
        <f t="shared" si="0"/>
        <v>13</v>
      </c>
      <c r="G6" s="26">
        <f>COUNTIFS(백로그!$B$2:$B$160,$A6,백로그!$H$2:$H$160,"Open",백로그!$E$2:$E$160,"&lt;&gt;Epic")</f>
        <v>2</v>
      </c>
      <c r="H6" s="26">
        <f>COUNTIFS(백로그!$B$2:$B$160,$A6,백로그!$H$2:$H$160,"Closed",백로그!$E$2:$E$160,"&lt;&gt;Epic")</f>
        <v>11</v>
      </c>
      <c r="I6" s="28">
        <f t="shared" si="1"/>
        <v>0.84615384615384615</v>
      </c>
    </row>
    <row r="7" spans="1:9">
      <c r="A7" s="26" t="s">
        <v>246</v>
      </c>
      <c r="B7" s="27" t="s">
        <v>419</v>
      </c>
      <c r="C7" s="26">
        <f>COUNTIFS(백로그!$B$2:$B$160,$A7,백로그!$E$2:$E$160,"Story")</f>
        <v>5</v>
      </c>
      <c r="D7" s="26">
        <f>COUNTIFS(백로그!$B$2:$B$160,$A7,백로그!$E$2:$E$160,"Task")</f>
        <v>10</v>
      </c>
      <c r="E7" s="26">
        <f>COUNTIFS(백로그!$B$2:$B$160,$A7,백로그!$E$2:$E$160,"Bug")</f>
        <v>2</v>
      </c>
      <c r="F7" s="26">
        <f t="shared" si="0"/>
        <v>17</v>
      </c>
      <c r="G7" s="26">
        <f>COUNTIFS(백로그!$B$2:$B$160,$A7,백로그!$H$2:$H$160,"Open",백로그!$E$2:$E$160,"&lt;&gt;Epic")</f>
        <v>7</v>
      </c>
      <c r="H7" s="26">
        <f>COUNTIFS(백로그!$B$2:$B$160,$A7,백로그!$H$2:$H$160,"Closed",백로그!$E$2:$E$160,"&lt;&gt;Epic")</f>
        <v>10</v>
      </c>
      <c r="I7" s="28">
        <f t="shared" si="1"/>
        <v>0.58823529411764708</v>
      </c>
    </row>
    <row r="8" spans="1:9">
      <c r="A8" s="26" t="s">
        <v>288</v>
      </c>
      <c r="B8" s="27" t="s">
        <v>420</v>
      </c>
      <c r="C8" s="26">
        <f>COUNTIFS(백로그!$B$2:$B$160,$A8,백로그!$E$2:$E$160,"Story")</f>
        <v>2</v>
      </c>
      <c r="D8" s="26">
        <f>COUNTIFS(백로그!$B$2:$B$160,$A8,백로그!$E$2:$E$160,"Task")</f>
        <v>11</v>
      </c>
      <c r="E8" s="26">
        <f>COUNTIFS(백로그!$B$2:$B$160,$A8,백로그!$E$2:$E$160,"Bug")</f>
        <v>1</v>
      </c>
      <c r="F8" s="26">
        <f t="shared" si="0"/>
        <v>14</v>
      </c>
      <c r="G8" s="26">
        <f>COUNTIFS(백로그!$B$2:$B$160,$A8,백로그!$H$2:$H$160,"Open",백로그!$E$2:$E$160,"&lt;&gt;Epic")</f>
        <v>1</v>
      </c>
      <c r="H8" s="26">
        <f>COUNTIFS(백로그!$B$2:$B$160,$A8,백로그!$H$2:$H$160,"Closed",백로그!$E$2:$E$160,"&lt;&gt;Epic")</f>
        <v>13</v>
      </c>
      <c r="I8" s="28">
        <f t="shared" si="1"/>
        <v>0.9285714285714286</v>
      </c>
    </row>
    <row r="9" spans="1:9">
      <c r="A9" s="26" t="s">
        <v>321</v>
      </c>
      <c r="B9" s="27" t="s">
        <v>421</v>
      </c>
      <c r="C9" s="26">
        <f>COUNTIFS(백로그!$B$2:$B$160,$A9,백로그!$E$2:$E$160,"Story")</f>
        <v>4</v>
      </c>
      <c r="D9" s="26">
        <f>COUNTIFS(백로그!$B$2:$B$160,$A9,백로그!$E$2:$E$160,"Task")</f>
        <v>12</v>
      </c>
      <c r="E9" s="26">
        <f>COUNTIFS(백로그!$B$2:$B$160,$A9,백로그!$E$2:$E$160,"Bug")</f>
        <v>0</v>
      </c>
      <c r="F9" s="26">
        <f t="shared" si="0"/>
        <v>16</v>
      </c>
      <c r="G9" s="26">
        <f>COUNTIFS(백로그!$B$2:$B$160,$A9,백로그!$H$2:$H$160,"Open",백로그!$E$2:$E$160,"&lt;&gt;Epic")</f>
        <v>7</v>
      </c>
      <c r="H9" s="26">
        <f>COUNTIFS(백로그!$B$2:$B$160,$A9,백로그!$H$2:$H$160,"Closed",백로그!$E$2:$E$160,"&lt;&gt;Epic")</f>
        <v>9</v>
      </c>
      <c r="I9" s="28">
        <f t="shared" si="1"/>
        <v>0.5625</v>
      </c>
    </row>
    <row r="10" spans="1:9">
      <c r="A10" s="26" t="s">
        <v>360</v>
      </c>
      <c r="B10" s="27" t="s">
        <v>422</v>
      </c>
      <c r="C10" s="26">
        <f>COUNTIFS(백로그!$B$2:$B$160,$A10,백로그!$E$2:$E$160,"Story")</f>
        <v>5</v>
      </c>
      <c r="D10" s="26">
        <f>COUNTIFS(백로그!$B$2:$B$160,$A10,백로그!$E$2:$E$160,"Task")</f>
        <v>14</v>
      </c>
      <c r="E10" s="26">
        <f>COUNTIFS(백로그!$B$2:$B$160,$A10,백로그!$E$2:$E$160,"Bug")</f>
        <v>0</v>
      </c>
      <c r="F10" s="26">
        <f t="shared" si="0"/>
        <v>19</v>
      </c>
      <c r="G10" s="26">
        <f>COUNTIFS(백로그!$B$2:$B$160,$A10,백로그!$H$2:$H$160,"Open",백로그!$E$2:$E$160,"&lt;&gt;Epic")</f>
        <v>7</v>
      </c>
      <c r="H10" s="26">
        <f>COUNTIFS(백로그!$B$2:$B$160,$A10,백로그!$H$2:$H$160,"Closed",백로그!$E$2:$E$160,"&lt;&gt;Epic")</f>
        <v>12</v>
      </c>
      <c r="I10" s="28">
        <f t="shared" si="1"/>
        <v>0.63157894736842102</v>
      </c>
    </row>
    <row r="11" spans="1:9">
      <c r="A11" s="29" t="s">
        <v>423</v>
      </c>
      <c r="B11" s="30"/>
      <c r="C11" s="29">
        <f t="shared" ref="C11:H11" si="2">SUM(C2:C10)</f>
        <v>40</v>
      </c>
      <c r="D11" s="29">
        <f t="shared" si="2"/>
        <v>106</v>
      </c>
      <c r="E11" s="29">
        <f t="shared" si="2"/>
        <v>4</v>
      </c>
      <c r="F11" s="29">
        <f t="shared" si="2"/>
        <v>150</v>
      </c>
      <c r="G11" s="29">
        <f t="shared" si="2"/>
        <v>26</v>
      </c>
      <c r="H11" s="29">
        <f t="shared" si="2"/>
        <v>124</v>
      </c>
      <c r="I11" s="31">
        <f t="shared" si="1"/>
        <v>0.82666666666666666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zoomScaleNormal="100" workbookViewId="0">
      <selection activeCell="A8" sqref="A8"/>
    </sheetView>
  </sheetViews>
  <sheetFormatPr defaultColWidth="8.6640625" defaultRowHeight="14.25"/>
  <cols>
    <col min="1" max="1" width="8" customWidth="1"/>
    <col min="2" max="2" width="60" customWidth="1"/>
    <col min="3" max="3" width="9" customWidth="1"/>
    <col min="4" max="4" width="26" customWidth="1"/>
    <col min="5" max="5" width="40" customWidth="1"/>
    <col min="6" max="6" width="8" customWidth="1"/>
  </cols>
  <sheetData>
    <row r="1" spans="1:6">
      <c r="A1" s="32" t="s">
        <v>5</v>
      </c>
      <c r="B1" s="32" t="s">
        <v>6</v>
      </c>
      <c r="C1" s="32" t="s">
        <v>7</v>
      </c>
      <c r="D1" s="32" t="s">
        <v>424</v>
      </c>
      <c r="E1" s="32" t="s">
        <v>11</v>
      </c>
      <c r="F1" s="32" t="s">
        <v>10</v>
      </c>
    </row>
    <row r="2" spans="1:6">
      <c r="A2" s="27">
        <v>75</v>
      </c>
      <c r="B2" s="27" t="s">
        <v>425</v>
      </c>
      <c r="C2" s="27" t="s">
        <v>14</v>
      </c>
      <c r="D2" s="27" t="s">
        <v>426</v>
      </c>
      <c r="E2" s="27" t="s">
        <v>427</v>
      </c>
      <c r="F2" s="33" t="s">
        <v>428</v>
      </c>
    </row>
    <row r="3" spans="1:6">
      <c r="A3" s="27">
        <v>115</v>
      </c>
      <c r="B3" s="34" t="s">
        <v>429</v>
      </c>
      <c r="C3" s="27" t="s">
        <v>14</v>
      </c>
      <c r="D3" s="27" t="s">
        <v>430</v>
      </c>
      <c r="E3" s="27" t="s">
        <v>431</v>
      </c>
      <c r="F3" s="33" t="s">
        <v>432</v>
      </c>
    </row>
    <row r="4" spans="1:6">
      <c r="A4" s="27">
        <v>269</v>
      </c>
      <c r="B4" s="27" t="s">
        <v>433</v>
      </c>
      <c r="C4" s="27" t="s">
        <v>14</v>
      </c>
      <c r="D4" s="27" t="s">
        <v>434</v>
      </c>
      <c r="E4" s="34" t="s">
        <v>435</v>
      </c>
      <c r="F4" s="33" t="s">
        <v>436</v>
      </c>
    </row>
    <row r="5" spans="1:6">
      <c r="A5" s="27">
        <v>91</v>
      </c>
      <c r="B5" s="27" t="s">
        <v>437</v>
      </c>
      <c r="C5" s="27" t="s">
        <v>14</v>
      </c>
      <c r="D5" s="34" t="s">
        <v>438</v>
      </c>
      <c r="E5" s="27" t="s">
        <v>439</v>
      </c>
      <c r="F5" s="33" t="s">
        <v>440</v>
      </c>
    </row>
    <row r="6" spans="1:6">
      <c r="A6" s="27">
        <v>97</v>
      </c>
      <c r="B6" s="27" t="s">
        <v>441</v>
      </c>
      <c r="C6" s="27" t="s">
        <v>14</v>
      </c>
      <c r="D6" s="34" t="s">
        <v>442</v>
      </c>
      <c r="E6" s="34" t="s">
        <v>443</v>
      </c>
      <c r="F6" s="33" t="s">
        <v>444</v>
      </c>
    </row>
    <row r="8" spans="1:6">
      <c r="A8" s="35"/>
    </row>
  </sheetData>
  <phoneticPr fontId="16" type="noConversion"/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백로그</vt:lpstr>
      <vt:lpstr>에픽별 요약</vt:lpstr>
      <vt:lpstr>미분류·확인 필요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m81609298@gmail.com</cp:lastModifiedBy>
  <cp:revision>0</cp:revision>
  <dcterms:created xsi:type="dcterms:W3CDTF">2026-10-19T08:17:04Z</dcterms:created>
  <dcterms:modified xsi:type="dcterms:W3CDTF">2026-10-19T08:21:39Z</dcterms:modified>
  <dc:language>en-US</dc:language>
</cp:coreProperties>
</file>