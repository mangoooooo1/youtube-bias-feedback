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name="백로그" sheetId="1" state="visible" r:id="rId1"/>
    <sheet name="에픽별 요약" sheetId="2" state="visible" r:id="rId2"/>
    <sheet name="미분류·확인 필요" sheetId="3" state="visible" r:id="rId3"/>
  </sheets>
  <definedNames>
    <definedName name="_xlnm._FilterDatabase" localSheetId="0" hidden="1">'백로그'!$A$1:$K$170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5B3FA8"/>
      <sz val="10"/>
    </font>
    <font>
      <name val="Arial"/>
      <family val="2"/>
      <b val="1"/>
      <sz val="10"/>
    </font>
    <font>
      <name val="Noto Sans CJK SC"/>
      <family val="2"/>
      <b val="1"/>
      <sz val="10"/>
    </font>
    <font>
      <name val="Arial"/>
      <family val="2"/>
      <color rgb="FF1A7F37"/>
      <sz val="10"/>
    </font>
    <font>
      <name val="Arial"/>
      <family val="2"/>
      <color rgb="FF0969DA"/>
      <sz val="10"/>
      <u val="single"/>
    </font>
    <font>
      <name val="Arial"/>
      <family val="2"/>
      <b val="1"/>
      <color rgb="FF1F6FEB"/>
      <sz val="10"/>
    </font>
    <font>
      <name val="Arial"/>
      <family val="2"/>
      <b val="1"/>
      <color rgb="FF24292F"/>
      <sz val="10"/>
    </font>
    <font>
      <name val="Noto Sans CJK SC"/>
      <family val="2"/>
      <sz val="10"/>
    </font>
    <font>
      <name val="Arial"/>
      <family val="2"/>
      <b val="1"/>
      <color rgb="FFCF222E"/>
      <sz val="10"/>
    </font>
    <font>
      <name val="Arial"/>
      <family val="2"/>
      <color rgb="FF9A6700"/>
      <sz val="10"/>
    </font>
    <font>
      <name val="Noto Sans CJK SC"/>
      <family val="2"/>
      <i val="1"/>
      <color rgb="FF57606A"/>
      <sz val="9"/>
    </font>
    <font>
      <name val="Arial"/>
      <family val="2"/>
      <b val="1"/>
      <color rgb="FFFFFFFF"/>
      <sz val="11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24292F"/>
        <bgColor rgb="FF333300"/>
      </patternFill>
    </fill>
    <fill>
      <patternFill patternType="solid">
        <fgColor rgb="FFDDE4EE"/>
        <bgColor rgb="FFD0D7DE"/>
      </patternFill>
    </fill>
    <fill>
      <patternFill patternType="solid">
        <fgColor rgb="FFF1F4F8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8" fillId="0" borderId="0" pivotButton="0" quotePrefix="0" xfId="0"/>
    <xf numFmtId="0" fontId="11" fillId="0" borderId="1" pivotButton="0" quotePrefix="0" xfId="0"/>
    <xf numFmtId="0" fontId="14" fillId="0" borderId="0" pivotButton="0" quotePrefix="0" xfId="0"/>
    <xf numFmtId="164" fontId="3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9A6700"/>
      <rgbColor rgb="FF800080"/>
      <rgbColor rgb="FF008080"/>
      <rgbColor rgb="FFC0C0C0"/>
      <rgbColor rgb="FF808080"/>
      <rgbColor rgb="FF9999FF"/>
      <rgbColor rgb="FF993366"/>
      <rgbColor rgb="FFF1F4F8"/>
      <rgbColor rgb="FFDDE4EE"/>
      <rgbColor rgb="FF660066"/>
      <rgbColor rgb="FFFF8080"/>
      <rgbColor rgb="FF0969DA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CF222E"/>
      <rgbColor rgb="FF993366"/>
      <rgbColor rgb="FF5B3FA8"/>
      <rgbColor rgb="FF2429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ngoooooo1/youtube-bias-feedback/issues/1" TargetMode="External" Id="rId1" /><Relationship Type="http://schemas.openxmlformats.org/officeDocument/2006/relationships/hyperlink" Target="https://github.com/mangoooooo1/youtube-bias-feedback/issues/2" TargetMode="External" Id="rId2" /><Relationship Type="http://schemas.openxmlformats.org/officeDocument/2006/relationships/hyperlink" Target="https://github.com/mangoooooo1/youtube-bias-feedback/issues/3" TargetMode="External" Id="rId3" /><Relationship Type="http://schemas.openxmlformats.org/officeDocument/2006/relationships/hyperlink" Target="https://github.com/mangoooooo1/youtube-bias-feedback/issues/4" TargetMode="External" Id="rId4" /><Relationship Type="http://schemas.openxmlformats.org/officeDocument/2006/relationships/hyperlink" Target="https://github.com/mangoooooo1/youtube-bias-feedback/issues/5" TargetMode="External" Id="rId5" /><Relationship Type="http://schemas.openxmlformats.org/officeDocument/2006/relationships/hyperlink" Target="https://github.com/mangoooooo1/youtube-bias-feedback/issues/6" TargetMode="External" Id="rId6" /><Relationship Type="http://schemas.openxmlformats.org/officeDocument/2006/relationships/hyperlink" Target="https://github.com/mangoooooo1/youtube-bias-feedback/issues/7" TargetMode="External" Id="rId7" /><Relationship Type="http://schemas.openxmlformats.org/officeDocument/2006/relationships/hyperlink" Target="https://github.com/mangoooooo1/youtube-bias-feedback/issues/55" TargetMode="External" Id="rId8" /><Relationship Type="http://schemas.openxmlformats.org/officeDocument/2006/relationships/hyperlink" Target="https://github.com/mangoooooo1/youtube-bias-feedback/issues/299" TargetMode="External" Id="rId9" /><Relationship Type="http://schemas.openxmlformats.org/officeDocument/2006/relationships/hyperlink" Target="https://github.com/mangoooooo1/youtube-bias-feedback/issues/8" TargetMode="External" Id="rId10" /><Relationship Type="http://schemas.openxmlformats.org/officeDocument/2006/relationships/hyperlink" Target="https://github.com/mangoooooo1/youtube-bias-feedback/issues/9" TargetMode="External" Id="rId11" /><Relationship Type="http://schemas.openxmlformats.org/officeDocument/2006/relationships/hyperlink" Target="https://github.com/mangoooooo1/youtube-bias-feedback/issues/10" TargetMode="External" Id="rId12" /><Relationship Type="http://schemas.openxmlformats.org/officeDocument/2006/relationships/hyperlink" Target="https://github.com/mangoooooo1/youtube-bias-feedback/issues/11" TargetMode="External" Id="rId13" /><Relationship Type="http://schemas.openxmlformats.org/officeDocument/2006/relationships/hyperlink" Target="https://github.com/mangoooooo1/youtube-bias-feedback/issues/57" TargetMode="External" Id="rId14" /><Relationship Type="http://schemas.openxmlformats.org/officeDocument/2006/relationships/hyperlink" Target="https://github.com/mangoooooo1/youtube-bias-feedback/issues/12" TargetMode="External" Id="rId15" /><Relationship Type="http://schemas.openxmlformats.org/officeDocument/2006/relationships/hyperlink" Target="https://github.com/mangoooooo1/youtube-bias-feedback/issues/13" TargetMode="External" Id="rId16" /><Relationship Type="http://schemas.openxmlformats.org/officeDocument/2006/relationships/hyperlink" Target="https://github.com/mangoooooo1/youtube-bias-feedback/issues/14" TargetMode="External" Id="rId17" /><Relationship Type="http://schemas.openxmlformats.org/officeDocument/2006/relationships/hyperlink" Target="https://github.com/mangoooooo1/youtube-bias-feedback/issues/15" TargetMode="External" Id="rId18" /><Relationship Type="http://schemas.openxmlformats.org/officeDocument/2006/relationships/hyperlink" Target="https://github.com/mangoooooo1/youtube-bias-feedback/issues/16" TargetMode="External" Id="rId19" /><Relationship Type="http://schemas.openxmlformats.org/officeDocument/2006/relationships/hyperlink" Target="https://github.com/mangoooooo1/youtube-bias-feedback/issues/59" TargetMode="External" Id="rId20" /><Relationship Type="http://schemas.openxmlformats.org/officeDocument/2006/relationships/hyperlink" Target="https://github.com/mangoooooo1/youtube-bias-feedback/issues/93" TargetMode="External" Id="rId21" /><Relationship Type="http://schemas.openxmlformats.org/officeDocument/2006/relationships/hyperlink" Target="https://github.com/mangoooooo1/youtube-bias-feedback/issues/17" TargetMode="External" Id="rId22" /><Relationship Type="http://schemas.openxmlformats.org/officeDocument/2006/relationships/hyperlink" Target="https://github.com/mangoooooo1/youtube-bias-feedback/issues/18" TargetMode="External" Id="rId23" /><Relationship Type="http://schemas.openxmlformats.org/officeDocument/2006/relationships/hyperlink" Target="https://github.com/mangoooooo1/youtube-bias-feedback/issues/19" TargetMode="External" Id="rId24" /><Relationship Type="http://schemas.openxmlformats.org/officeDocument/2006/relationships/hyperlink" Target="https://github.com/mangoooooo1/youtube-bias-feedback/issues/20" TargetMode="External" Id="rId25" /><Relationship Type="http://schemas.openxmlformats.org/officeDocument/2006/relationships/hyperlink" Target="https://github.com/mangoooooo1/youtube-bias-feedback/issues/21" TargetMode="External" Id="rId26" /><Relationship Type="http://schemas.openxmlformats.org/officeDocument/2006/relationships/hyperlink" Target="https://github.com/mangoooooo1/youtube-bias-feedback/issues/61" TargetMode="External" Id="rId27" /><Relationship Type="http://schemas.openxmlformats.org/officeDocument/2006/relationships/hyperlink" Target="https://github.com/mangoooooo1/youtube-bias-feedback/issues/22" TargetMode="External" Id="rId28" /><Relationship Type="http://schemas.openxmlformats.org/officeDocument/2006/relationships/hyperlink" Target="https://github.com/mangoooooo1/youtube-bias-feedback/issues/23" TargetMode="External" Id="rId29" /><Relationship Type="http://schemas.openxmlformats.org/officeDocument/2006/relationships/hyperlink" Target="https://github.com/mangoooooo1/youtube-bias-feedback/issues/24" TargetMode="External" Id="rId30" /><Relationship Type="http://schemas.openxmlformats.org/officeDocument/2006/relationships/hyperlink" Target="https://github.com/mangoooooo1/youtube-bias-feedback/issues/25" TargetMode="External" Id="rId31" /><Relationship Type="http://schemas.openxmlformats.org/officeDocument/2006/relationships/hyperlink" Target="https://github.com/mangoooooo1/youtube-bias-feedback/issues/63" TargetMode="External" Id="rId32" /><Relationship Type="http://schemas.openxmlformats.org/officeDocument/2006/relationships/hyperlink" Target="https://github.com/mangoooooo1/youtube-bias-feedback/issues/26" TargetMode="External" Id="rId33" /><Relationship Type="http://schemas.openxmlformats.org/officeDocument/2006/relationships/hyperlink" Target="https://github.com/mangoooooo1/youtube-bias-feedback/issues/27" TargetMode="External" Id="rId34" /><Relationship Type="http://schemas.openxmlformats.org/officeDocument/2006/relationships/hyperlink" Target="https://github.com/mangoooooo1/youtube-bias-feedback/issues/28" TargetMode="External" Id="rId35" /><Relationship Type="http://schemas.openxmlformats.org/officeDocument/2006/relationships/hyperlink" Target="https://github.com/mangoooooo1/youtube-bias-feedback/issues/29" TargetMode="External" Id="rId36" /><Relationship Type="http://schemas.openxmlformats.org/officeDocument/2006/relationships/hyperlink" Target="https://github.com/mangoooooo1/youtube-bias-feedback/issues/30" TargetMode="External" Id="rId37" /><Relationship Type="http://schemas.openxmlformats.org/officeDocument/2006/relationships/hyperlink" Target="https://github.com/mangoooooo1/youtube-bias-feedback/issues/65" TargetMode="External" Id="rId38" /><Relationship Type="http://schemas.openxmlformats.org/officeDocument/2006/relationships/hyperlink" Target="https://github.com/mangoooooo1/youtube-bias-feedback/issues/102" TargetMode="External" Id="rId39" /><Relationship Type="http://schemas.openxmlformats.org/officeDocument/2006/relationships/hyperlink" Target="https://github.com/mangoooooo1/youtube-bias-feedback/issues/31" TargetMode="External" Id="rId40" /><Relationship Type="http://schemas.openxmlformats.org/officeDocument/2006/relationships/hyperlink" Target="https://github.com/mangoooooo1/youtube-bias-feedback/issues/32" TargetMode="External" Id="rId41" /><Relationship Type="http://schemas.openxmlformats.org/officeDocument/2006/relationships/hyperlink" Target="https://github.com/mangoooooo1/youtube-bias-feedback/issues/33" TargetMode="External" Id="rId42" /><Relationship Type="http://schemas.openxmlformats.org/officeDocument/2006/relationships/hyperlink" Target="https://github.com/mangoooooo1/youtube-bias-feedback/issues/34" TargetMode="External" Id="rId43" /><Relationship Type="http://schemas.openxmlformats.org/officeDocument/2006/relationships/hyperlink" Target="https://github.com/mangoooooo1/youtube-bias-feedback/issues/35" TargetMode="External" Id="rId44" /><Relationship Type="http://schemas.openxmlformats.org/officeDocument/2006/relationships/hyperlink" Target="https://github.com/mangoooooo1/youtube-bias-feedback/issues/67" TargetMode="External" Id="rId45" /><Relationship Type="http://schemas.openxmlformats.org/officeDocument/2006/relationships/hyperlink" Target="https://github.com/mangoooooo1/youtube-bias-feedback/issues/36" TargetMode="External" Id="rId46" /><Relationship Type="http://schemas.openxmlformats.org/officeDocument/2006/relationships/hyperlink" Target="https://github.com/mangoooooo1/youtube-bias-feedback/issues/37" TargetMode="External" Id="rId47" /><Relationship Type="http://schemas.openxmlformats.org/officeDocument/2006/relationships/hyperlink" Target="https://github.com/mangoooooo1/youtube-bias-feedback/issues/38" TargetMode="External" Id="rId48" /><Relationship Type="http://schemas.openxmlformats.org/officeDocument/2006/relationships/hyperlink" Target="https://github.com/mangoooooo1/youtube-bias-feedback/issues/69" TargetMode="External" Id="rId49" /><Relationship Type="http://schemas.openxmlformats.org/officeDocument/2006/relationships/hyperlink" Target="https://github.com/mangoooooo1/youtube-bias-feedback/issues/39" TargetMode="External" Id="rId50" /><Relationship Type="http://schemas.openxmlformats.org/officeDocument/2006/relationships/hyperlink" Target="https://github.com/mangoooooo1/youtube-bias-feedback/issues/40" TargetMode="External" Id="rId51" /><Relationship Type="http://schemas.openxmlformats.org/officeDocument/2006/relationships/hyperlink" Target="https://github.com/mangoooooo1/youtube-bias-feedback/issues/41" TargetMode="External" Id="rId52" /><Relationship Type="http://schemas.openxmlformats.org/officeDocument/2006/relationships/hyperlink" Target="https://github.com/mangoooooo1/youtube-bias-feedback/issues/42" TargetMode="External" Id="rId53" /><Relationship Type="http://schemas.openxmlformats.org/officeDocument/2006/relationships/hyperlink" Target="https://github.com/mangoooooo1/youtube-bias-feedback/issues/71" TargetMode="External" Id="rId54" /><Relationship Type="http://schemas.openxmlformats.org/officeDocument/2006/relationships/hyperlink" Target="https://github.com/mangoooooo1/youtube-bias-feedback/issues/301" TargetMode="External" Id="rId55" /><Relationship Type="http://schemas.openxmlformats.org/officeDocument/2006/relationships/hyperlink" Target="https://github.com/mangoooooo1/youtube-bias-feedback/issues/270" TargetMode="External" Id="rId56" /><Relationship Type="http://schemas.openxmlformats.org/officeDocument/2006/relationships/hyperlink" Target="https://github.com/mangoooooo1/youtube-bias-feedback/issues/88" TargetMode="External" Id="rId57" /><Relationship Type="http://schemas.openxmlformats.org/officeDocument/2006/relationships/hyperlink" Target="https://github.com/mangoooooo1/youtube-bias-feedback/issues/290" TargetMode="External" Id="rId58" /><Relationship Type="http://schemas.openxmlformats.org/officeDocument/2006/relationships/hyperlink" Target="https://github.com/mangoooooo1/youtube-bias-feedback/issues/86" TargetMode="External" Id="rId59" /><Relationship Type="http://schemas.openxmlformats.org/officeDocument/2006/relationships/hyperlink" Target="https://github.com/mangoooooo1/youtube-bias-feedback/issues/95" TargetMode="External" Id="rId60" /><Relationship Type="http://schemas.openxmlformats.org/officeDocument/2006/relationships/hyperlink" Target="https://github.com/mangoooooo1/youtube-bias-feedback/issues/43" TargetMode="External" Id="rId61" /><Relationship Type="http://schemas.openxmlformats.org/officeDocument/2006/relationships/hyperlink" Target="https://github.com/mangoooooo1/youtube-bias-feedback/issues/44" TargetMode="External" Id="rId62" /><Relationship Type="http://schemas.openxmlformats.org/officeDocument/2006/relationships/hyperlink" Target="https://github.com/mangoooooo1/youtube-bias-feedback/issues/45" TargetMode="External" Id="rId63" /><Relationship Type="http://schemas.openxmlformats.org/officeDocument/2006/relationships/hyperlink" Target="https://github.com/mangoooooo1/youtube-bias-feedback/issues/46" TargetMode="External" Id="rId64" /><Relationship Type="http://schemas.openxmlformats.org/officeDocument/2006/relationships/hyperlink" Target="https://github.com/mangoooooo1/youtube-bias-feedback/issues/47" TargetMode="External" Id="rId65" /><Relationship Type="http://schemas.openxmlformats.org/officeDocument/2006/relationships/hyperlink" Target="https://github.com/mangoooooo1/youtube-bias-feedback/issues/48" TargetMode="External" Id="rId66" /><Relationship Type="http://schemas.openxmlformats.org/officeDocument/2006/relationships/hyperlink" Target="https://github.com/mangoooooo1/youtube-bias-feedback/issues/73" TargetMode="External" Id="rId67" /><Relationship Type="http://schemas.openxmlformats.org/officeDocument/2006/relationships/hyperlink" Target="https://github.com/mangoooooo1/youtube-bias-feedback/issues/89" TargetMode="External" Id="rId68" /><Relationship Type="http://schemas.openxmlformats.org/officeDocument/2006/relationships/hyperlink" Target="https://github.com/mangoooooo1/youtube-bias-feedback/issues/49" TargetMode="External" Id="rId69" /><Relationship Type="http://schemas.openxmlformats.org/officeDocument/2006/relationships/hyperlink" Target="https://github.com/mangoooooo1/youtube-bias-feedback/issues/271" TargetMode="External" Id="rId70" /><Relationship Type="http://schemas.openxmlformats.org/officeDocument/2006/relationships/hyperlink" Target="https://github.com/mangoooooo1/youtube-bias-feedback/issues/50" TargetMode="External" Id="rId71" /><Relationship Type="http://schemas.openxmlformats.org/officeDocument/2006/relationships/hyperlink" Target="https://github.com/mangoooooo1/youtube-bias-feedback/issues/51" TargetMode="External" Id="rId72" /><Relationship Type="http://schemas.openxmlformats.org/officeDocument/2006/relationships/hyperlink" Target="https://github.com/mangoooooo1/youtube-bias-feedback/issues/78" TargetMode="External" Id="rId73" /><Relationship Type="http://schemas.openxmlformats.org/officeDocument/2006/relationships/hyperlink" Target="https://github.com/mangoooooo1/youtube-bias-feedback/issues/52" TargetMode="External" Id="rId74" /><Relationship Type="http://schemas.openxmlformats.org/officeDocument/2006/relationships/hyperlink" Target="https://github.com/mangoooooo1/youtube-bias-feedback/issues/53" TargetMode="External" Id="rId75" /><Relationship Type="http://schemas.openxmlformats.org/officeDocument/2006/relationships/hyperlink" Target="https://github.com/mangoooooo1/youtube-bias-feedback/issues/54" TargetMode="External" Id="rId76" /><Relationship Type="http://schemas.openxmlformats.org/officeDocument/2006/relationships/hyperlink" Target="https://github.com/mangoooooo1/youtube-bias-feedback/issues/79" TargetMode="External" Id="rId77" /><Relationship Type="http://schemas.openxmlformats.org/officeDocument/2006/relationships/hyperlink" Target="https://github.com/mangoooooo1/youtube-bias-feedback/issues/127" TargetMode="External" Id="rId78" /><Relationship Type="http://schemas.openxmlformats.org/officeDocument/2006/relationships/hyperlink" Target="https://github.com/mangoooooo1/youtube-bias-feedback/issues/128" TargetMode="External" Id="rId79" /><Relationship Type="http://schemas.openxmlformats.org/officeDocument/2006/relationships/hyperlink" Target="https://github.com/mangoooooo1/youtube-bias-feedback/issues/130" TargetMode="External" Id="rId80" /><Relationship Type="http://schemas.openxmlformats.org/officeDocument/2006/relationships/hyperlink" Target="https://github.com/mangoooooo1/youtube-bias-feedback/issues/116" TargetMode="External" Id="rId81" /><Relationship Type="http://schemas.openxmlformats.org/officeDocument/2006/relationships/hyperlink" Target="https://github.com/mangoooooo1/youtube-bias-feedback/issues/117" TargetMode="External" Id="rId82" /><Relationship Type="http://schemas.openxmlformats.org/officeDocument/2006/relationships/hyperlink" Target="https://github.com/mangoooooo1/youtube-bias-feedback/issues/118" TargetMode="External" Id="rId83" /><Relationship Type="http://schemas.openxmlformats.org/officeDocument/2006/relationships/hyperlink" Target="https://github.com/mangoooooo1/youtube-bias-feedback/issues/119" TargetMode="External" Id="rId84" /><Relationship Type="http://schemas.openxmlformats.org/officeDocument/2006/relationships/hyperlink" Target="https://github.com/mangoooooo1/youtube-bias-feedback/issues/132" TargetMode="External" Id="rId85" /><Relationship Type="http://schemas.openxmlformats.org/officeDocument/2006/relationships/hyperlink" Target="https://github.com/mangoooooo1/youtube-bias-feedback/issues/140" TargetMode="External" Id="rId86" /><Relationship Type="http://schemas.openxmlformats.org/officeDocument/2006/relationships/hyperlink" Target="https://github.com/mangoooooo1/youtube-bias-feedback/issues/136" TargetMode="External" Id="rId87" /><Relationship Type="http://schemas.openxmlformats.org/officeDocument/2006/relationships/hyperlink" Target="https://github.com/mangoooooo1/youtube-bias-feedback/issues/291" TargetMode="External" Id="rId88" /><Relationship Type="http://schemas.openxmlformats.org/officeDocument/2006/relationships/hyperlink" Target="https://github.com/mangoooooo1/youtube-bias-feedback/issues/138" TargetMode="External" Id="rId89" /><Relationship Type="http://schemas.openxmlformats.org/officeDocument/2006/relationships/hyperlink" Target="https://github.com/mangoooooo1/youtube-bias-feedback/issues/273" TargetMode="External" Id="rId90" /><Relationship Type="http://schemas.openxmlformats.org/officeDocument/2006/relationships/hyperlink" Target="https://github.com/mangoooooo1/youtube-bias-feedback/issues/224" TargetMode="External" Id="rId91" /><Relationship Type="http://schemas.openxmlformats.org/officeDocument/2006/relationships/hyperlink" Target="https://github.com/mangoooooo1/youtube-bias-feedback/issues/292" TargetMode="External" Id="rId92" /><Relationship Type="http://schemas.openxmlformats.org/officeDocument/2006/relationships/hyperlink" Target="https://github.com/mangoooooo1/youtube-bias-feedback/issues/178" TargetMode="External" Id="rId93" /><Relationship Type="http://schemas.openxmlformats.org/officeDocument/2006/relationships/hyperlink" Target="https://github.com/mangoooooo1/youtube-bias-feedback/issues/180" TargetMode="External" Id="rId94" /><Relationship Type="http://schemas.openxmlformats.org/officeDocument/2006/relationships/hyperlink" Target="https://github.com/mangoooooo1/youtube-bias-feedback/issues/145" TargetMode="External" Id="rId95" /><Relationship Type="http://schemas.openxmlformats.org/officeDocument/2006/relationships/hyperlink" Target="https://github.com/mangoooooo1/youtube-bias-feedback/issues/274" TargetMode="External" Id="rId96" /><Relationship Type="http://schemas.openxmlformats.org/officeDocument/2006/relationships/hyperlink" Target="https://github.com/mangoooooo1/youtube-bias-feedback/issues/146" TargetMode="External" Id="rId97" /><Relationship Type="http://schemas.openxmlformats.org/officeDocument/2006/relationships/hyperlink" Target="https://github.com/mangoooooo1/youtube-bias-feedback/issues/147" TargetMode="External" Id="rId98" /><Relationship Type="http://schemas.openxmlformats.org/officeDocument/2006/relationships/hyperlink" Target="https://github.com/mangoooooo1/youtube-bias-feedback/issues/148" TargetMode="External" Id="rId99" /><Relationship Type="http://schemas.openxmlformats.org/officeDocument/2006/relationships/hyperlink" Target="https://github.com/mangoooooo1/youtube-bias-feedback/issues/159" TargetMode="External" Id="rId100" /><Relationship Type="http://schemas.openxmlformats.org/officeDocument/2006/relationships/hyperlink" Target="https://github.com/mangoooooo1/youtube-bias-feedback/issues/275" TargetMode="External" Id="rId101" /><Relationship Type="http://schemas.openxmlformats.org/officeDocument/2006/relationships/hyperlink" Target="https://github.com/mangoooooo1/youtube-bias-feedback/issues/149" TargetMode="External" Id="rId102" /><Relationship Type="http://schemas.openxmlformats.org/officeDocument/2006/relationships/hyperlink" Target="https://github.com/mangoooooo1/youtube-bias-feedback/issues/223" TargetMode="External" Id="rId103" /><Relationship Type="http://schemas.openxmlformats.org/officeDocument/2006/relationships/hyperlink" Target="https://github.com/mangoooooo1/youtube-bias-feedback/issues/276" TargetMode="External" Id="rId104" /><Relationship Type="http://schemas.openxmlformats.org/officeDocument/2006/relationships/hyperlink" Target="https://github.com/mangoooooo1/youtube-bias-feedback/issues/152" TargetMode="External" Id="rId105" /><Relationship Type="http://schemas.openxmlformats.org/officeDocument/2006/relationships/hyperlink" Target="https://github.com/mangoooooo1/youtube-bias-feedback/issues/153" TargetMode="External" Id="rId106" /><Relationship Type="http://schemas.openxmlformats.org/officeDocument/2006/relationships/hyperlink" Target="https://github.com/mangoooooo1/youtube-bias-feedback/issues/154" TargetMode="External" Id="rId107" /><Relationship Type="http://schemas.openxmlformats.org/officeDocument/2006/relationships/hyperlink" Target="https://github.com/mangoooooo1/youtube-bias-feedback/issues/261" TargetMode="External" Id="rId108" /><Relationship Type="http://schemas.openxmlformats.org/officeDocument/2006/relationships/hyperlink" Target="https://github.com/mangoooooo1/youtube-bias-feedback/issues/277" TargetMode="External" Id="rId109" /><Relationship Type="http://schemas.openxmlformats.org/officeDocument/2006/relationships/hyperlink" Target="https://github.com/mangoooooo1/youtube-bias-feedback/issues/193" TargetMode="External" Id="rId110" /><Relationship Type="http://schemas.openxmlformats.org/officeDocument/2006/relationships/hyperlink" Target="https://github.com/mangoooooo1/youtube-bias-feedback/issues/196" TargetMode="External" Id="rId111" /><Relationship Type="http://schemas.openxmlformats.org/officeDocument/2006/relationships/hyperlink" Target="https://github.com/mangoooooo1/youtube-bias-feedback/issues/278" TargetMode="External" Id="rId112" /><Relationship Type="http://schemas.openxmlformats.org/officeDocument/2006/relationships/hyperlink" Target="https://github.com/mangoooooo1/youtube-bias-feedback/issues/202" TargetMode="External" Id="rId113" /><Relationship Type="http://schemas.openxmlformats.org/officeDocument/2006/relationships/hyperlink" Target="https://github.com/mangoooooo1/youtube-bias-feedback/issues/172" TargetMode="External" Id="rId114" /><Relationship Type="http://schemas.openxmlformats.org/officeDocument/2006/relationships/hyperlink" Target="https://github.com/mangoooooo1/youtube-bias-feedback/issues/192" TargetMode="External" Id="rId115" /><Relationship Type="http://schemas.openxmlformats.org/officeDocument/2006/relationships/hyperlink" Target="https://github.com/mangoooooo1/youtube-bias-feedback/issues/204" TargetMode="External" Id="rId116" /><Relationship Type="http://schemas.openxmlformats.org/officeDocument/2006/relationships/hyperlink" Target="https://github.com/mangoooooo1/youtube-bias-feedback/issues/205" TargetMode="External" Id="rId117" /><Relationship Type="http://schemas.openxmlformats.org/officeDocument/2006/relationships/hyperlink" Target="https://github.com/mangoooooo1/youtube-bias-feedback/issues/206" TargetMode="External" Id="rId118" /><Relationship Type="http://schemas.openxmlformats.org/officeDocument/2006/relationships/hyperlink" Target="https://github.com/mangoooooo1/youtube-bias-feedback/issues/279" TargetMode="External" Id="rId119" /><Relationship Type="http://schemas.openxmlformats.org/officeDocument/2006/relationships/hyperlink" Target="https://github.com/mangoooooo1/youtube-bias-feedback/issues/203" TargetMode="External" Id="rId120" /><Relationship Type="http://schemas.openxmlformats.org/officeDocument/2006/relationships/hyperlink" Target="https://github.com/mangoooooo1/youtube-bias-feedback/issues/225" TargetMode="External" Id="rId121" /><Relationship Type="http://schemas.openxmlformats.org/officeDocument/2006/relationships/hyperlink" Target="https://github.com/mangoooooo1/youtube-bias-feedback/issues/226" TargetMode="External" Id="rId122" /><Relationship Type="http://schemas.openxmlformats.org/officeDocument/2006/relationships/hyperlink" Target="https://github.com/mangoooooo1/youtube-bias-feedback/issues/227" TargetMode="External" Id="rId123" /><Relationship Type="http://schemas.openxmlformats.org/officeDocument/2006/relationships/hyperlink" Target="https://github.com/mangoooooo1/youtube-bias-feedback/issues/228" TargetMode="External" Id="rId124" /><Relationship Type="http://schemas.openxmlformats.org/officeDocument/2006/relationships/hyperlink" Target="https://github.com/mangoooooo1/youtube-bias-feedback/issues/267" TargetMode="External" Id="rId125" /><Relationship Type="http://schemas.openxmlformats.org/officeDocument/2006/relationships/hyperlink" Target="https://github.com/mangoooooo1/youtube-bias-feedback/issues/268" TargetMode="External" Id="rId126" /><Relationship Type="http://schemas.openxmlformats.org/officeDocument/2006/relationships/hyperlink" Target="https://github.com/mangoooooo1/youtube-bias-feedback/issues/232" TargetMode="External" Id="rId127" /><Relationship Type="http://schemas.openxmlformats.org/officeDocument/2006/relationships/hyperlink" Target="https://github.com/mangoooooo1/youtube-bias-feedback/issues/207" TargetMode="External" Id="rId128" /><Relationship Type="http://schemas.openxmlformats.org/officeDocument/2006/relationships/hyperlink" Target="https://github.com/mangoooooo1/youtube-bias-feedback/issues/280" TargetMode="External" Id="rId129" /><Relationship Type="http://schemas.openxmlformats.org/officeDocument/2006/relationships/hyperlink" Target="https://github.com/mangoooooo1/youtube-bias-feedback/issues/160" TargetMode="External" Id="rId130" /><Relationship Type="http://schemas.openxmlformats.org/officeDocument/2006/relationships/hyperlink" Target="https://github.com/mangoooooo1/youtube-bias-feedback/issues/197" TargetMode="External" Id="rId131" /><Relationship Type="http://schemas.openxmlformats.org/officeDocument/2006/relationships/hyperlink" Target="https://github.com/mangoooooo1/youtube-bias-feedback/issues/210" TargetMode="External" Id="rId132" /><Relationship Type="http://schemas.openxmlformats.org/officeDocument/2006/relationships/hyperlink" Target="https://github.com/mangoooooo1/youtube-bias-feedback/issues/281" TargetMode="External" Id="rId133" /><Relationship Type="http://schemas.openxmlformats.org/officeDocument/2006/relationships/hyperlink" Target="https://github.com/mangoooooo1/youtube-bias-feedback/issues/209" TargetMode="External" Id="rId134" /><Relationship Type="http://schemas.openxmlformats.org/officeDocument/2006/relationships/hyperlink" Target="https://github.com/mangoooooo1/youtube-bias-feedback/issues/218" TargetMode="External" Id="rId135" /><Relationship Type="http://schemas.openxmlformats.org/officeDocument/2006/relationships/hyperlink" Target="https://github.com/mangoooooo1/youtube-bias-feedback/issues/211" TargetMode="External" Id="rId136" /><Relationship Type="http://schemas.openxmlformats.org/officeDocument/2006/relationships/hyperlink" Target="https://github.com/mangoooooo1/youtube-bias-feedback/issues/217" TargetMode="External" Id="rId137" /><Relationship Type="http://schemas.openxmlformats.org/officeDocument/2006/relationships/hyperlink" Target="https://github.com/mangoooooo1/youtube-bias-feedback/issues/253" TargetMode="External" Id="rId138" /><Relationship Type="http://schemas.openxmlformats.org/officeDocument/2006/relationships/hyperlink" Target="https://github.com/mangoooooo1/youtube-bias-feedback/issues/254" TargetMode="External" Id="rId139" /><Relationship Type="http://schemas.openxmlformats.org/officeDocument/2006/relationships/hyperlink" Target="https://github.com/mangoooooo1/youtube-bias-feedback/issues/255" TargetMode="External" Id="rId140" /><Relationship Type="http://schemas.openxmlformats.org/officeDocument/2006/relationships/hyperlink" Target="https://github.com/mangoooooo1/youtube-bias-feedback/issues/256" TargetMode="External" Id="rId141" /><Relationship Type="http://schemas.openxmlformats.org/officeDocument/2006/relationships/hyperlink" Target="https://github.com/mangoooooo1/youtube-bias-feedback/issues/262" TargetMode="External" Id="rId142" /><Relationship Type="http://schemas.openxmlformats.org/officeDocument/2006/relationships/hyperlink" Target="https://github.com/mangoooooo1/youtube-bias-feedback/issues/302" TargetMode="External" Id="rId143" /><Relationship Type="http://schemas.openxmlformats.org/officeDocument/2006/relationships/hyperlink" Target="https://github.com/mangoooooo1/youtube-bias-feedback/issues/303" TargetMode="External" Id="rId144" /><Relationship Type="http://schemas.openxmlformats.org/officeDocument/2006/relationships/hyperlink" Target="https://github.com/mangoooooo1/youtube-bias-feedback/issues/282" TargetMode="External" Id="rId145" /><Relationship Type="http://schemas.openxmlformats.org/officeDocument/2006/relationships/hyperlink" Target="https://github.com/mangoooooo1/youtube-bias-feedback/issues/213" TargetMode="External" Id="rId146" /><Relationship Type="http://schemas.openxmlformats.org/officeDocument/2006/relationships/hyperlink" Target="https://github.com/mangoooooo1/youtube-bias-feedback/issues/208" TargetMode="External" Id="rId147" /><Relationship Type="http://schemas.openxmlformats.org/officeDocument/2006/relationships/hyperlink" Target="https://github.com/mangoooooo1/youtube-bias-feedback/issues/283" TargetMode="External" Id="rId148" /><Relationship Type="http://schemas.openxmlformats.org/officeDocument/2006/relationships/hyperlink" Target="https://github.com/mangoooooo1/youtube-bias-feedback/issues/165" TargetMode="External" Id="rId149" /><Relationship Type="http://schemas.openxmlformats.org/officeDocument/2006/relationships/hyperlink" Target="https://github.com/mangoooooo1/youtube-bias-feedback/issues/167" TargetMode="External" Id="rId150" /><Relationship Type="http://schemas.openxmlformats.org/officeDocument/2006/relationships/hyperlink" Target="https://github.com/mangoooooo1/youtube-bias-feedback/issues/169" TargetMode="External" Id="rId151" /><Relationship Type="http://schemas.openxmlformats.org/officeDocument/2006/relationships/hyperlink" Target="https://github.com/mangoooooo1/youtube-bias-feedback/issues/294" TargetMode="External" Id="rId152" /><Relationship Type="http://schemas.openxmlformats.org/officeDocument/2006/relationships/hyperlink" Target="https://github.com/mangoooooo1/youtube-bias-feedback/issues/285" TargetMode="External" Id="rId153" /><Relationship Type="http://schemas.openxmlformats.org/officeDocument/2006/relationships/hyperlink" Target="https://github.com/mangoooooo1/youtube-bias-feedback/issues/234" TargetMode="External" Id="rId154" /><Relationship Type="http://schemas.openxmlformats.org/officeDocument/2006/relationships/hyperlink" Target="https://github.com/mangoooooo1/youtube-bias-feedback/issues/235" TargetMode="External" Id="rId155" /><Relationship Type="http://schemas.openxmlformats.org/officeDocument/2006/relationships/hyperlink" Target="https://github.com/mangoooooo1/youtube-bias-feedback/issues/236" TargetMode="External" Id="rId156" /><Relationship Type="http://schemas.openxmlformats.org/officeDocument/2006/relationships/hyperlink" Target="https://github.com/mangoooooo1/youtube-bias-feedback/issues/240" TargetMode="External" Id="rId157" /><Relationship Type="http://schemas.openxmlformats.org/officeDocument/2006/relationships/hyperlink" Target="https://github.com/mangoooooo1/youtube-bias-feedback/issues/286" TargetMode="External" Id="rId158" /><Relationship Type="http://schemas.openxmlformats.org/officeDocument/2006/relationships/hyperlink" Target="https://github.com/mangoooooo1/youtube-bias-feedback/issues/233" TargetMode="External" Id="rId159" /><Relationship Type="http://schemas.openxmlformats.org/officeDocument/2006/relationships/hyperlink" Target="https://github.com/mangoooooo1/youtube-bias-feedback/issues/259" TargetMode="External" Id="rId160" /><Relationship Type="http://schemas.openxmlformats.org/officeDocument/2006/relationships/hyperlink" Target="https://github.com/mangoooooo1/youtube-bias-feedback/issues/265" TargetMode="External" Id="rId161" /><Relationship Type="http://schemas.openxmlformats.org/officeDocument/2006/relationships/hyperlink" Target="https://github.com/mangoooooo1/youtube-bias-feedback/issues/296" TargetMode="External" Id="rId162" /><Relationship Type="http://schemas.openxmlformats.org/officeDocument/2006/relationships/hyperlink" Target="https://github.com/mangoooooo1/youtube-bias-feedback/issues/297" TargetMode="External" Id="rId163" /><Relationship Type="http://schemas.openxmlformats.org/officeDocument/2006/relationships/hyperlink" Target="https://github.com/mangoooooo1/youtube-bias-feedback/issues/287" TargetMode="External" Id="rId164" /><Relationship Type="http://schemas.openxmlformats.org/officeDocument/2006/relationships/hyperlink" Target="https://github.com/mangoooooo1/youtube-bias-feedback/issues/134" TargetMode="External" Id="rId165" /><Relationship Type="http://schemas.openxmlformats.org/officeDocument/2006/relationships/hyperlink" Target="https://github.com/mangoooooo1/youtube-bias-feedback/issues/241" TargetMode="External" Id="rId166" /><Relationship Type="http://schemas.openxmlformats.org/officeDocument/2006/relationships/hyperlink" Target="https://github.com/mangoooooo1/youtube-bias-feedback/issues/244" TargetMode="External" Id="rId167" /><Relationship Type="http://schemas.openxmlformats.org/officeDocument/2006/relationships/hyperlink" Target="https://github.com/mangoooooo1/youtube-bias-feedback/issues/288" TargetMode="External" Id="rId168" /><Relationship Type="http://schemas.openxmlformats.org/officeDocument/2006/relationships/hyperlink" Target="https://github.com/mangoooooo1/youtube-bias-feedback/issues/289" TargetMode="External" Id="rId169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mangoooooo1/youtube-bias-feedback/issues/75" TargetMode="External" Id="rId1" /><Relationship Type="http://schemas.openxmlformats.org/officeDocument/2006/relationships/hyperlink" Target="https://github.com/mangoooooo1/youtube-bias-feedback/issues/115" TargetMode="External" Id="rId2" /><Relationship Type="http://schemas.openxmlformats.org/officeDocument/2006/relationships/hyperlink" Target="https://github.com/mangoooooo1/youtube-bias-feedback/issues/269" TargetMode="External" Id="rId3" /><Relationship Type="http://schemas.openxmlformats.org/officeDocument/2006/relationships/hyperlink" Target="https://github.com/mangoooooo1/youtube-bias-feedback/issues/91" TargetMode="External" Id="rId4" /><Relationship Type="http://schemas.openxmlformats.org/officeDocument/2006/relationships/hyperlink" Target="https://github.com/mangoooooo1/youtube-bias-feedback/issues/97" TargetMode="External" Id="rId5" /><Relationship Type="http://schemas.openxmlformats.org/officeDocument/2006/relationships/hyperlink" Target="https://github.com/mangoooooo1/youtube-bias-feedback/issues/7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tabSelected="1" topLeftCell="F1" zoomScaleNormal="100" workbookViewId="0">
      <pane ySplit="1" topLeftCell="A138" activePane="bottomLeft" state="frozen"/>
      <selection pane="bottomLeft" activeCell="L163" sqref="L163"/>
    </sheetView>
  </sheetViews>
  <sheetFormatPr baseColWidth="8" defaultColWidth="8.6640625" defaultRowHeight="14.25" outlineLevelRow="2"/>
  <cols>
    <col width="6" customWidth="1" min="1" max="1"/>
    <col width="9" customWidth="1" min="2" max="2"/>
    <col width="12" customWidth="1" min="3" max="3"/>
    <col width="6" customWidth="1" min="4" max="4"/>
    <col width="8" customWidth="1" min="5" max="6"/>
    <col width="78" customWidth="1" min="7" max="7"/>
    <col width="9" customWidth="1" min="8" max="8"/>
    <col width="12" customWidth="1" min="9" max="9"/>
    <col width="8" customWidth="1" min="10" max="11"/>
  </cols>
  <sheetData>
    <row r="1" ht="21.75" customHeight="1">
      <c r="A1" s="1" t="inlineStr">
        <is>
          <t>No</t>
        </is>
      </c>
      <c r="B1" s="1" t="inlineStr">
        <is>
          <t>Epic</t>
        </is>
      </c>
      <c r="C1" s="1" t="inlineStr">
        <is>
          <t>Story</t>
        </is>
      </c>
      <c r="D1" s="2" t="inlineStr">
        <is>
          <t>레벨</t>
        </is>
      </c>
      <c r="E1" s="2" t="inlineStr">
        <is>
          <t>타입</t>
        </is>
      </c>
      <c r="F1" s="2" t="inlineStr">
        <is>
          <t>이슈 #</t>
        </is>
      </c>
      <c r="G1" s="2" t="inlineStr">
        <is>
          <t>제목</t>
        </is>
      </c>
      <c r="H1" s="2" t="inlineStr">
        <is>
          <t>상태</t>
        </is>
      </c>
      <c r="I1" s="2" t="inlineStr">
        <is>
          <t>연결 PR</t>
        </is>
      </c>
      <c r="J1" s="2" t="inlineStr">
        <is>
          <t>부모 #</t>
        </is>
      </c>
      <c r="K1" s="2" t="inlineStr">
        <is>
          <t>링크</t>
        </is>
      </c>
    </row>
    <row r="2">
      <c r="A2" s="3" t="n">
        <v>1</v>
      </c>
      <c r="B2" s="4" t="inlineStr">
        <is>
          <t>Epic 1</t>
        </is>
      </c>
      <c r="C2" s="4" t="n"/>
      <c r="D2" s="3" t="n">
        <v>1</v>
      </c>
      <c r="E2" s="5" t="inlineStr">
        <is>
          <t>Epic</t>
        </is>
      </c>
      <c r="F2" s="3" t="n">
        <v>1</v>
      </c>
      <c r="G2" s="6" t="inlineStr">
        <is>
          <t>Epic 1: 크롬 확장 프로그램 - 핵심 데이터 수집</t>
        </is>
      </c>
      <c r="H2" s="7" t="inlineStr">
        <is>
          <t>Closed</t>
        </is>
      </c>
      <c r="I2" s="4" t="n"/>
      <c r="J2" s="3" t="n"/>
      <c r="K2" s="8" t="inlineStr">
        <is>
          <t>#1</t>
        </is>
      </c>
    </row>
    <row r="3" outlineLevel="1">
      <c r="A3" s="9" t="n">
        <v>2</v>
      </c>
      <c r="B3" s="10" t="inlineStr">
        <is>
          <t>Epic 1</t>
        </is>
      </c>
      <c r="C3" s="10" t="inlineStr">
        <is>
          <t>Story 1-1</t>
        </is>
      </c>
      <c r="D3" s="9" t="n">
        <v>2</v>
      </c>
      <c r="E3" s="11" t="inlineStr">
        <is>
          <t>Story</t>
        </is>
      </c>
      <c r="F3" s="9" t="n">
        <v>2</v>
      </c>
      <c r="G3" s="12" t="inlineStr">
        <is>
          <t xml:space="preserve">    Story 1-1: YouTube 재생 영상 ID와 제목을 자동으로 감지할 수 있다</t>
        </is>
      </c>
      <c r="H3" s="13" t="inlineStr">
        <is>
          <t>Closed</t>
        </is>
      </c>
      <c r="I3" s="10" t="n"/>
      <c r="J3" s="9" t="n">
        <v>1</v>
      </c>
      <c r="K3" s="14" t="inlineStr">
        <is>
          <t>#2</t>
        </is>
      </c>
    </row>
    <row r="4" outlineLevel="2">
      <c r="A4" s="15" t="n">
        <v>3</v>
      </c>
      <c r="B4" s="16" t="inlineStr">
        <is>
          <t>Epic 1</t>
        </is>
      </c>
      <c r="C4" s="16" t="inlineStr">
        <is>
          <t>Story 1-1</t>
        </is>
      </c>
      <c r="D4" s="15" t="n">
        <v>3</v>
      </c>
      <c r="E4" s="17" t="inlineStr">
        <is>
          <t>Task</t>
        </is>
      </c>
      <c r="F4" s="15" t="n">
        <v>3</v>
      </c>
      <c r="G4" s="18" t="inlineStr">
        <is>
          <t xml:space="preserve">        manifest.json 기본 구조 작성</t>
        </is>
      </c>
      <c r="H4" s="19" t="inlineStr">
        <is>
          <t>Closed</t>
        </is>
      </c>
      <c r="I4" s="16" t="n"/>
      <c r="J4" s="15" t="n">
        <v>2</v>
      </c>
      <c r="K4" s="20" t="inlineStr">
        <is>
          <t>#3</t>
        </is>
      </c>
    </row>
    <row r="5" outlineLevel="2">
      <c r="A5" s="15" t="n">
        <v>4</v>
      </c>
      <c r="B5" s="16" t="inlineStr">
        <is>
          <t>Epic 1</t>
        </is>
      </c>
      <c r="C5" s="16" t="inlineStr">
        <is>
          <t>Story 1-1</t>
        </is>
      </c>
      <c r="D5" s="15" t="n">
        <v>3</v>
      </c>
      <c r="E5" s="17" t="inlineStr">
        <is>
          <t>Task</t>
        </is>
      </c>
      <c r="F5" s="15" t="n">
        <v>4</v>
      </c>
      <c r="G5" s="18" t="inlineStr">
        <is>
          <t xml:space="preserve">        content script, background service worker 파일 뼈대 생성</t>
        </is>
      </c>
      <c r="H5" s="19" t="inlineStr">
        <is>
          <t>Closed</t>
        </is>
      </c>
      <c r="I5" s="16" t="n"/>
      <c r="J5" s="15" t="n">
        <v>2</v>
      </c>
      <c r="K5" s="20" t="inlineStr">
        <is>
          <t>#4</t>
        </is>
      </c>
    </row>
    <row r="6" outlineLevel="2">
      <c r="A6" s="15" t="n">
        <v>5</v>
      </c>
      <c r="B6" s="16" t="inlineStr">
        <is>
          <t>Epic 1</t>
        </is>
      </c>
      <c r="C6" s="16" t="inlineStr">
        <is>
          <t>Story 1-1</t>
        </is>
      </c>
      <c r="D6" s="15" t="n">
        <v>3</v>
      </c>
      <c r="E6" s="17" t="inlineStr">
        <is>
          <t>Task</t>
        </is>
      </c>
      <c r="F6" s="15" t="n">
        <v>5</v>
      </c>
      <c r="G6" s="18" t="inlineStr">
        <is>
          <t xml:space="preserve">        YouTube URL에서 videoId 파라미터 추출 로직 구현</t>
        </is>
      </c>
      <c r="H6" s="19" t="inlineStr">
        <is>
          <t>Closed</t>
        </is>
      </c>
      <c r="I6" s="16" t="n"/>
      <c r="J6" s="15" t="n">
        <v>2</v>
      </c>
      <c r="K6" s="20" t="inlineStr">
        <is>
          <t>#5</t>
        </is>
      </c>
    </row>
    <row r="7" outlineLevel="2">
      <c r="A7" s="15" t="n">
        <v>6</v>
      </c>
      <c r="B7" s="16" t="inlineStr">
        <is>
          <t>Epic 1</t>
        </is>
      </c>
      <c r="C7" s="16" t="inlineStr">
        <is>
          <t>Story 1-1</t>
        </is>
      </c>
      <c r="D7" s="15" t="n">
        <v>3</v>
      </c>
      <c r="E7" s="17" t="inlineStr">
        <is>
          <t>Task</t>
        </is>
      </c>
      <c r="F7" s="15" t="n">
        <v>6</v>
      </c>
      <c r="G7" s="18" t="inlineStr">
        <is>
          <t xml:space="preserve">        MutationObserver로 YouTube SPA 페이지 이동 감지 구현</t>
        </is>
      </c>
      <c r="H7" s="19" t="inlineStr">
        <is>
          <t>Closed</t>
        </is>
      </c>
      <c r="I7" s="16" t="n"/>
      <c r="J7" s="15" t="n">
        <v>2</v>
      </c>
      <c r="K7" s="20" t="inlineStr">
        <is>
          <t>#6</t>
        </is>
      </c>
    </row>
    <row r="8" outlineLevel="2">
      <c r="A8" s="15" t="n">
        <v>7</v>
      </c>
      <c r="B8" s="16" t="inlineStr">
        <is>
          <t>Epic 1</t>
        </is>
      </c>
      <c r="C8" s="16" t="inlineStr">
        <is>
          <t>Story 1-1</t>
        </is>
      </c>
      <c r="D8" s="15" t="n">
        <v>3</v>
      </c>
      <c r="E8" s="17" t="inlineStr">
        <is>
          <t>Task</t>
        </is>
      </c>
      <c r="F8" s="15" t="n">
        <v>7</v>
      </c>
      <c r="G8" s="21" t="inlineStr">
        <is>
          <t xml:space="preserve">        영상 제목 DOM에서 파싱하는 로직 구현</t>
        </is>
      </c>
      <c r="H8" s="19" t="inlineStr">
        <is>
          <t>Closed</t>
        </is>
      </c>
      <c r="I8" s="16" t="n"/>
      <c r="J8" s="15" t="n">
        <v>2</v>
      </c>
      <c r="K8" s="20" t="inlineStr">
        <is>
          <t>#7</t>
        </is>
      </c>
    </row>
    <row r="9" outlineLevel="2">
      <c r="A9" s="15" t="n">
        <v>8</v>
      </c>
      <c r="B9" s="16" t="inlineStr">
        <is>
          <t>Epic 1</t>
        </is>
      </c>
      <c r="C9" s="16" t="inlineStr">
        <is>
          <t>Story 1-1</t>
        </is>
      </c>
      <c r="D9" s="15" t="n">
        <v>3</v>
      </c>
      <c r="E9" s="17" t="inlineStr">
        <is>
          <t>Task</t>
        </is>
      </c>
      <c r="F9" s="15" t="n">
        <v>55</v>
      </c>
      <c r="G9" s="18" t="inlineStr">
        <is>
          <t xml:space="preserve">        feat: YouTube 재생 영상 ID와 제목 자동 감지</t>
        </is>
      </c>
      <c r="H9" s="19" t="inlineStr">
        <is>
          <t>Closed</t>
        </is>
      </c>
      <c r="I9" s="16" t="inlineStr">
        <is>
          <t>#56</t>
        </is>
      </c>
      <c r="J9" s="15" t="n">
        <v>2</v>
      </c>
      <c r="K9" s="20" t="inlineStr">
        <is>
          <t>#55</t>
        </is>
      </c>
    </row>
    <row r="10" outlineLevel="1">
      <c r="A10" s="15" t="n">
        <v>9</v>
      </c>
      <c r="B10" s="16" t="inlineStr">
        <is>
          <t>Epic 1</t>
        </is>
      </c>
      <c r="C10" s="16" t="inlineStr">
        <is>
          <t>Story 1-1</t>
        </is>
      </c>
      <c r="D10" s="15" t="n">
        <v>3</v>
      </c>
      <c r="E10" s="17" t="inlineStr">
        <is>
          <t>Bug</t>
        </is>
      </c>
      <c r="F10" s="15" t="n">
        <v>299</v>
      </c>
      <c r="G10" s="18" t="inlineStr">
        <is>
          <t xml:space="preserve">        fix: 영상 전환 시 직전 영상 제목이 다음 기록에 붙는 문제 — videoId 확인 강화 및 메타데이터 제목 우선 사용</t>
        </is>
      </c>
      <c r="H10" s="19" t="inlineStr">
        <is>
          <t>Open</t>
        </is>
      </c>
      <c r="I10" s="16" t="n"/>
      <c r="J10" s="15" t="n">
        <v>2</v>
      </c>
      <c r="K10" s="20" t="inlineStr">
        <is>
          <t>#299</t>
        </is>
      </c>
    </row>
    <row r="11" outlineLevel="2">
      <c r="A11" s="9" t="n">
        <v>10</v>
      </c>
      <c r="B11" s="10" t="inlineStr">
        <is>
          <t>Epic 1</t>
        </is>
      </c>
      <c r="C11" s="10" t="inlineStr">
        <is>
          <t>Story 1-2</t>
        </is>
      </c>
      <c r="D11" s="9" t="n">
        <v>2</v>
      </c>
      <c r="E11" s="11" t="inlineStr">
        <is>
          <t>Story</t>
        </is>
      </c>
      <c r="F11" s="9" t="n">
        <v>8</v>
      </c>
      <c r="G11" s="12" t="inlineStr">
        <is>
          <t xml:space="preserve">    Story 1-2: 감지된 영상 데이터를 세션 단위로 로컬에 저장할 수 있다</t>
        </is>
      </c>
      <c r="H11" s="13" t="inlineStr">
        <is>
          <t>Closed</t>
        </is>
      </c>
      <c r="I11" s="10" t="n"/>
      <c r="J11" s="9" t="n">
        <v>1</v>
      </c>
      <c r="K11" s="14" t="inlineStr">
        <is>
          <t>#8</t>
        </is>
      </c>
    </row>
    <row r="12" outlineLevel="2">
      <c r="A12" s="15" t="n">
        <v>11</v>
      </c>
      <c r="B12" s="16" t="inlineStr">
        <is>
          <t>Epic 1</t>
        </is>
      </c>
      <c r="C12" s="16" t="inlineStr">
        <is>
          <t>Story 1-2</t>
        </is>
      </c>
      <c r="D12" s="15" t="n">
        <v>3</v>
      </c>
      <c r="E12" s="17" t="inlineStr">
        <is>
          <t>Task</t>
        </is>
      </c>
      <c r="F12" s="15" t="n">
        <v>9</v>
      </c>
      <c r="G12" s="18" t="inlineStr">
        <is>
          <t xml:space="preserve">        chrome.storage.local 저장 데이터 구조 설계 및 구현</t>
        </is>
      </c>
      <c r="H12" s="19" t="inlineStr">
        <is>
          <t>Closed</t>
        </is>
      </c>
      <c r="I12" s="16" t="n"/>
      <c r="J12" s="15" t="n">
        <v>8</v>
      </c>
      <c r="K12" s="20" t="inlineStr">
        <is>
          <t>#9</t>
        </is>
      </c>
    </row>
    <row r="13" outlineLevel="2">
      <c r="A13" s="15" t="n">
        <v>12</v>
      </c>
      <c r="B13" s="16" t="inlineStr">
        <is>
          <t>Epic 1</t>
        </is>
      </c>
      <c r="C13" s="16" t="inlineStr">
        <is>
          <t>Story 1-2</t>
        </is>
      </c>
      <c r="D13" s="15" t="n">
        <v>3</v>
      </c>
      <c r="E13" s="17" t="inlineStr">
        <is>
          <t>Task</t>
        </is>
      </c>
      <c r="F13" s="15" t="n">
        <v>10</v>
      </c>
      <c r="G13" s="21" t="inlineStr">
        <is>
          <t xml:space="preserve">        중복 videoId 방지 로직 구현</t>
        </is>
      </c>
      <c r="H13" s="19" t="inlineStr">
        <is>
          <t>Closed</t>
        </is>
      </c>
      <c r="I13" s="16" t="n"/>
      <c r="J13" s="15" t="n">
        <v>8</v>
      </c>
      <c r="K13" s="20" t="inlineStr">
        <is>
          <t>#10</t>
        </is>
      </c>
    </row>
    <row r="14" outlineLevel="2">
      <c r="A14" s="15" t="n">
        <v>13</v>
      </c>
      <c r="B14" s="16" t="inlineStr">
        <is>
          <t>Epic 1</t>
        </is>
      </c>
      <c r="C14" s="16" t="inlineStr">
        <is>
          <t>Story 1-2</t>
        </is>
      </c>
      <c r="D14" s="15" t="n">
        <v>3</v>
      </c>
      <c r="E14" s="17" t="inlineStr">
        <is>
          <t>Task</t>
        </is>
      </c>
      <c r="F14" s="15" t="n">
        <v>11</v>
      </c>
      <c r="G14" s="21" t="inlineStr">
        <is>
          <t xml:space="preserve">        저장/조회/초기화 유틸 함수 모듈화</t>
        </is>
      </c>
      <c r="H14" s="19" t="inlineStr">
        <is>
          <t>Closed</t>
        </is>
      </c>
      <c r="I14" s="16" t="n"/>
      <c r="J14" s="15" t="n">
        <v>8</v>
      </c>
      <c r="K14" s="20" t="inlineStr">
        <is>
          <t>#11</t>
        </is>
      </c>
    </row>
    <row r="15">
      <c r="A15" s="15" t="n">
        <v>14</v>
      </c>
      <c r="B15" s="16" t="inlineStr">
        <is>
          <t>Epic 1</t>
        </is>
      </c>
      <c r="C15" s="16" t="inlineStr">
        <is>
          <t>Story 1-2</t>
        </is>
      </c>
      <c r="D15" s="15" t="n">
        <v>3</v>
      </c>
      <c r="E15" s="17" t="inlineStr">
        <is>
          <t>Task</t>
        </is>
      </c>
      <c r="F15" s="15" t="n">
        <v>57</v>
      </c>
      <c r="G15" s="18" t="inlineStr">
        <is>
          <t xml:space="preserve">        feat: 감지된 영상 데이터를 세션 단위로 로컬에 저장할 수 있다</t>
        </is>
      </c>
      <c r="H15" s="19" t="inlineStr">
        <is>
          <t>Closed</t>
        </is>
      </c>
      <c r="I15" s="16" t="inlineStr">
        <is>
          <t>#58</t>
        </is>
      </c>
      <c r="J15" s="15" t="n">
        <v>8</v>
      </c>
      <c r="K15" s="20" t="inlineStr">
        <is>
          <t>#57</t>
        </is>
      </c>
    </row>
    <row r="16" outlineLevel="1">
      <c r="A16" s="3" t="n">
        <v>15</v>
      </c>
      <c r="B16" s="4" t="inlineStr">
        <is>
          <t>Epic 2</t>
        </is>
      </c>
      <c r="C16" s="4" t="n"/>
      <c r="D16" s="3" t="n">
        <v>1</v>
      </c>
      <c r="E16" s="5" t="inlineStr">
        <is>
          <t>Epic</t>
        </is>
      </c>
      <c r="F16" s="3" t="n">
        <v>12</v>
      </c>
      <c r="G16" s="6" t="inlineStr">
        <is>
          <t>Epic 2: 분석 파이프라인</t>
        </is>
      </c>
      <c r="H16" s="7" t="inlineStr">
        <is>
          <t>Closed</t>
        </is>
      </c>
      <c r="I16" s="4" t="n"/>
      <c r="J16" s="3" t="n"/>
      <c r="K16" s="8" t="inlineStr">
        <is>
          <t>#12</t>
        </is>
      </c>
    </row>
    <row r="17" outlineLevel="2">
      <c r="A17" s="9" t="n">
        <v>16</v>
      </c>
      <c r="B17" s="10" t="inlineStr">
        <is>
          <t>Epic 2</t>
        </is>
      </c>
      <c r="C17" s="10" t="inlineStr">
        <is>
          <t>Story 2-1</t>
        </is>
      </c>
      <c r="D17" s="9" t="n">
        <v>2</v>
      </c>
      <c r="E17" s="11" t="inlineStr">
        <is>
          <t>Story</t>
        </is>
      </c>
      <c r="F17" s="9" t="n">
        <v>13</v>
      </c>
      <c r="G17" s="12" t="inlineStr">
        <is>
          <t xml:space="preserve">    Story 2-1: 30분 비활성 기준으로 세션 종료를 자동으로 감지할 수 있다</t>
        </is>
      </c>
      <c r="H17" s="13" t="inlineStr">
        <is>
          <t>Closed</t>
        </is>
      </c>
      <c r="I17" s="10" t="n"/>
      <c r="J17" s="9" t="n">
        <v>12</v>
      </c>
      <c r="K17" s="14" t="inlineStr">
        <is>
          <t>#13</t>
        </is>
      </c>
    </row>
    <row r="18" outlineLevel="2">
      <c r="A18" s="15" t="n">
        <v>17</v>
      </c>
      <c r="B18" s="16" t="inlineStr">
        <is>
          <t>Epic 2</t>
        </is>
      </c>
      <c r="C18" s="16" t="inlineStr">
        <is>
          <t>Story 2-1</t>
        </is>
      </c>
      <c r="D18" s="15" t="n">
        <v>3</v>
      </c>
      <c r="E18" s="17" t="inlineStr">
        <is>
          <t>Task</t>
        </is>
      </c>
      <c r="F18" s="15" t="n">
        <v>14</v>
      </c>
      <c r="G18" s="21" t="inlineStr">
        <is>
          <t xml:space="preserve">        마지막 시청 시각 갱신 로직 구현</t>
        </is>
      </c>
      <c r="H18" s="19" t="inlineStr">
        <is>
          <t>Closed</t>
        </is>
      </c>
      <c r="I18" s="16" t="n"/>
      <c r="J18" s="15" t="n">
        <v>13</v>
      </c>
      <c r="K18" s="20" t="inlineStr">
        <is>
          <t>#14</t>
        </is>
      </c>
    </row>
    <row r="19" outlineLevel="2">
      <c r="A19" s="15" t="n">
        <v>18</v>
      </c>
      <c r="B19" s="16" t="inlineStr">
        <is>
          <t>Epic 2</t>
        </is>
      </c>
      <c r="C19" s="16" t="inlineStr">
        <is>
          <t>Story 2-1</t>
        </is>
      </c>
      <c r="D19" s="15" t="n">
        <v>3</v>
      </c>
      <c r="E19" s="17" t="inlineStr">
        <is>
          <t>Task</t>
        </is>
      </c>
      <c r="F19" s="15" t="n">
        <v>15</v>
      </c>
      <c r="G19" s="18" t="inlineStr">
        <is>
          <t xml:space="preserve">        30분 타임아웃 감지 및 세션 종료 트리거 구현</t>
        </is>
      </c>
      <c r="H19" s="19" t="inlineStr">
        <is>
          <t>Closed</t>
        </is>
      </c>
      <c r="I19" s="16" t="n"/>
      <c r="J19" s="15" t="n">
        <v>13</v>
      </c>
      <c r="K19" s="20" t="inlineStr">
        <is>
          <t>#15</t>
        </is>
      </c>
    </row>
    <row r="20" outlineLevel="2">
      <c r="A20" s="15" t="n">
        <v>19</v>
      </c>
      <c r="B20" s="16" t="inlineStr">
        <is>
          <t>Epic 2</t>
        </is>
      </c>
      <c r="C20" s="16" t="inlineStr">
        <is>
          <t>Story 2-1</t>
        </is>
      </c>
      <c r="D20" s="15" t="n">
        <v>3</v>
      </c>
      <c r="E20" s="17" t="inlineStr">
        <is>
          <t>Task</t>
        </is>
      </c>
      <c r="F20" s="15" t="n">
        <v>16</v>
      </c>
      <c r="G20" s="21" t="inlineStr">
        <is>
          <t xml:space="preserve">        세션 시작/종료 시간 및 세션 ID 기록 로직 구현</t>
        </is>
      </c>
      <c r="H20" s="19" t="inlineStr">
        <is>
          <t>Closed</t>
        </is>
      </c>
      <c r="I20" s="16" t="n"/>
      <c r="J20" s="15" t="n">
        <v>13</v>
      </c>
      <c r="K20" s="20" t="inlineStr">
        <is>
          <t>#16</t>
        </is>
      </c>
    </row>
    <row r="21" outlineLevel="2">
      <c r="A21" s="15" t="n">
        <v>20</v>
      </c>
      <c r="B21" s="16" t="inlineStr">
        <is>
          <t>Epic 2</t>
        </is>
      </c>
      <c r="C21" s="16" t="inlineStr">
        <is>
          <t>Story 2-1</t>
        </is>
      </c>
      <c r="D21" s="15" t="n">
        <v>3</v>
      </c>
      <c r="E21" s="17" t="inlineStr">
        <is>
          <t>Task</t>
        </is>
      </c>
      <c r="F21" s="15" t="n">
        <v>59</v>
      </c>
      <c r="G21" s="18" t="inlineStr">
        <is>
          <t xml:space="preserve">        feat: 30분 비활성 기준으로 세션 종료를 자동으로 감지할 수 있다</t>
        </is>
      </c>
      <c r="H21" s="19" t="inlineStr">
        <is>
          <t>Closed</t>
        </is>
      </c>
      <c r="I21" s="16" t="inlineStr">
        <is>
          <t>#60</t>
        </is>
      </c>
      <c r="J21" s="15" t="n">
        <v>13</v>
      </c>
      <c r="K21" s="20" t="inlineStr">
        <is>
          <t>#59</t>
        </is>
      </c>
    </row>
    <row r="22" outlineLevel="1">
      <c r="A22" s="15" t="n">
        <v>21</v>
      </c>
      <c r="B22" s="16" t="inlineStr">
        <is>
          <t>Epic 2</t>
        </is>
      </c>
      <c r="C22" s="16" t="inlineStr">
        <is>
          <t>Story 2-1</t>
        </is>
      </c>
      <c r="D22" s="15" t="n">
        <v>3</v>
      </c>
      <c r="E22" s="22" t="inlineStr">
        <is>
          <t>Bug</t>
        </is>
      </c>
      <c r="F22" s="15" t="n">
        <v>93</v>
      </c>
      <c r="G22" s="18" t="inlineStr">
        <is>
          <t xml:space="preserve">        fix: Service worker가 비활성 상태에서 영상이 세션이 기록되지 않는 문제</t>
        </is>
      </c>
      <c r="H22" s="19" t="inlineStr">
        <is>
          <t>Closed</t>
        </is>
      </c>
      <c r="I22" s="16" t="inlineStr">
        <is>
          <t>#94</t>
        </is>
      </c>
      <c r="J22" s="15" t="n">
        <v>13</v>
      </c>
      <c r="K22" s="20" t="inlineStr">
        <is>
          <t>#93</t>
        </is>
      </c>
    </row>
    <row r="23" outlineLevel="2">
      <c r="A23" s="9" t="n">
        <v>22</v>
      </c>
      <c r="B23" s="10" t="inlineStr">
        <is>
          <t>Epic 2</t>
        </is>
      </c>
      <c r="C23" s="10" t="inlineStr">
        <is>
          <t>Story 2-2</t>
        </is>
      </c>
      <c r="D23" s="9" t="n">
        <v>2</v>
      </c>
      <c r="E23" s="11" t="inlineStr">
        <is>
          <t>Story</t>
        </is>
      </c>
      <c r="F23" s="9" t="n">
        <v>17</v>
      </c>
      <c r="G23" s="12" t="inlineStr">
        <is>
          <t xml:space="preserve">    Story 2-2: 영상 ID로 YouTube Data API를 통해 카테고리 정보를 조회할 수 있다</t>
        </is>
      </c>
      <c r="H23" s="13" t="inlineStr">
        <is>
          <t>Closed</t>
        </is>
      </c>
      <c r="I23" s="10" t="n"/>
      <c r="J23" s="9" t="n">
        <v>12</v>
      </c>
      <c r="K23" s="14" t="inlineStr">
        <is>
          <t>#17</t>
        </is>
      </c>
    </row>
    <row r="24" outlineLevel="2">
      <c r="A24" s="15" t="n">
        <v>23</v>
      </c>
      <c r="B24" s="16" t="inlineStr">
        <is>
          <t>Epic 2</t>
        </is>
      </c>
      <c r="C24" s="16" t="inlineStr">
        <is>
          <t>Story 2-2</t>
        </is>
      </c>
      <c r="D24" s="15" t="n">
        <v>3</v>
      </c>
      <c r="E24" s="17" t="inlineStr">
        <is>
          <t>Task</t>
        </is>
      </c>
      <c r="F24" s="15" t="n">
        <v>18</v>
      </c>
      <c r="G24" s="18" t="inlineStr">
        <is>
          <t xml:space="preserve">        YouTube Data API v3 키 발급 및 환경 설정</t>
        </is>
      </c>
      <c r="H24" s="19" t="inlineStr">
        <is>
          <t>Closed</t>
        </is>
      </c>
      <c r="I24" s="16" t="n"/>
      <c r="J24" s="15" t="n">
        <v>17</v>
      </c>
      <c r="K24" s="20" t="inlineStr">
        <is>
          <t>#18</t>
        </is>
      </c>
    </row>
    <row r="25" outlineLevel="2">
      <c r="A25" s="15" t="n">
        <v>24</v>
      </c>
      <c r="B25" s="16" t="inlineStr">
        <is>
          <t>Epic 2</t>
        </is>
      </c>
      <c r="C25" s="16" t="inlineStr">
        <is>
          <t>Story 2-2</t>
        </is>
      </c>
      <c r="D25" s="15" t="n">
        <v>3</v>
      </c>
      <c r="E25" s="17" t="inlineStr">
        <is>
          <t>Task</t>
        </is>
      </c>
      <c r="F25" s="15" t="n">
        <v>19</v>
      </c>
      <c r="G25" s="18" t="inlineStr">
        <is>
          <t xml:space="preserve">        videos.list API 호출 함수 구현</t>
        </is>
      </c>
      <c r="H25" s="19" t="inlineStr">
        <is>
          <t>Closed</t>
        </is>
      </c>
      <c r="I25" s="16" t="n"/>
      <c r="J25" s="15" t="n">
        <v>17</v>
      </c>
      <c r="K25" s="20" t="inlineStr">
        <is>
          <t>#19</t>
        </is>
      </c>
    </row>
    <row r="26" outlineLevel="2">
      <c r="A26" s="15" t="n">
        <v>25</v>
      </c>
      <c r="B26" s="16" t="inlineStr">
        <is>
          <t>Epic 2</t>
        </is>
      </c>
      <c r="C26" s="16" t="inlineStr">
        <is>
          <t>Story 2-2</t>
        </is>
      </c>
      <c r="D26" s="15" t="n">
        <v>3</v>
      </c>
      <c r="E26" s="17" t="inlineStr">
        <is>
          <t>Task</t>
        </is>
      </c>
      <c r="F26" s="15" t="n">
        <v>20</v>
      </c>
      <c r="G26" s="18" t="inlineStr">
        <is>
          <t xml:space="preserve">        categoryId → 카테고리명 매핑 테이블 작성</t>
        </is>
      </c>
      <c r="H26" s="19" t="inlineStr">
        <is>
          <t>Closed</t>
        </is>
      </c>
      <c r="I26" s="16" t="n"/>
      <c r="J26" s="15" t="n">
        <v>17</v>
      </c>
      <c r="K26" s="20" t="inlineStr">
        <is>
          <t>#20</t>
        </is>
      </c>
    </row>
    <row r="27" outlineLevel="2">
      <c r="A27" s="15" t="n">
        <v>26</v>
      </c>
      <c r="B27" s="16" t="inlineStr">
        <is>
          <t>Epic 2</t>
        </is>
      </c>
      <c r="C27" s="16" t="inlineStr">
        <is>
          <t>Story 2-2</t>
        </is>
      </c>
      <c r="D27" s="15" t="n">
        <v>3</v>
      </c>
      <c r="E27" s="17" t="inlineStr">
        <is>
          <t>Task</t>
        </is>
      </c>
      <c r="F27" s="15" t="n">
        <v>21</v>
      </c>
      <c r="G27" s="18" t="inlineStr">
        <is>
          <t xml:space="preserve">        API 에러 처리 및 할당량 초과 대응 로직 구현</t>
        </is>
      </c>
      <c r="H27" s="19" t="inlineStr">
        <is>
          <t>Closed</t>
        </is>
      </c>
      <c r="I27" s="16" t="n"/>
      <c r="J27" s="15" t="n">
        <v>17</v>
      </c>
      <c r="K27" s="20" t="inlineStr">
        <is>
          <t>#21</t>
        </is>
      </c>
    </row>
    <row r="28" outlineLevel="1">
      <c r="A28" s="15" t="n">
        <v>27</v>
      </c>
      <c r="B28" s="16" t="inlineStr">
        <is>
          <t>Epic 2</t>
        </is>
      </c>
      <c r="C28" s="16" t="inlineStr">
        <is>
          <t>Story 2-2</t>
        </is>
      </c>
      <c r="D28" s="15" t="n">
        <v>3</v>
      </c>
      <c r="E28" s="17" t="inlineStr">
        <is>
          <t>Task</t>
        </is>
      </c>
      <c r="F28" s="15" t="n">
        <v>61</v>
      </c>
      <c r="G28" s="18" t="inlineStr">
        <is>
          <t xml:space="preserve">        feat: 영상 ID로 YouTube Data API를 통해 카테고리 정보를 조회할 수 있다</t>
        </is>
      </c>
      <c r="H28" s="19" t="inlineStr">
        <is>
          <t>Closed</t>
        </is>
      </c>
      <c r="I28" s="16" t="inlineStr">
        <is>
          <t>#62</t>
        </is>
      </c>
      <c r="J28" s="15" t="n">
        <v>17</v>
      </c>
      <c r="K28" s="20" t="inlineStr">
        <is>
          <t>#61</t>
        </is>
      </c>
    </row>
    <row r="29" outlineLevel="2">
      <c r="A29" s="9" t="n">
        <v>28</v>
      </c>
      <c r="B29" s="10" t="inlineStr">
        <is>
          <t>Epic 2</t>
        </is>
      </c>
      <c r="C29" s="10" t="inlineStr">
        <is>
          <t>Story 2-3</t>
        </is>
      </c>
      <c r="D29" s="9" t="n">
        <v>2</v>
      </c>
      <c r="E29" s="11" t="inlineStr">
        <is>
          <t>Story</t>
        </is>
      </c>
      <c r="F29" s="9" t="n">
        <v>22</v>
      </c>
      <c r="G29" s="12" t="inlineStr">
        <is>
          <t xml:space="preserve">    Story 2-3: 세션별 카테고리 분포를 Shannon Entropy로 계산할 수 있다</t>
        </is>
      </c>
      <c r="H29" s="13" t="inlineStr">
        <is>
          <t>Closed</t>
        </is>
      </c>
      <c r="I29" s="10" t="n"/>
      <c r="J29" s="9" t="n">
        <v>12</v>
      </c>
      <c r="K29" s="14" t="inlineStr">
        <is>
          <t>#22</t>
        </is>
      </c>
    </row>
    <row r="30" outlineLevel="2">
      <c r="A30" s="15" t="n">
        <v>29</v>
      </c>
      <c r="B30" s="16" t="inlineStr">
        <is>
          <t>Epic 2</t>
        </is>
      </c>
      <c r="C30" s="16" t="inlineStr">
        <is>
          <t>Story 2-3</t>
        </is>
      </c>
      <c r="D30" s="15" t="n">
        <v>3</v>
      </c>
      <c r="E30" s="17" t="inlineStr">
        <is>
          <t>Task</t>
        </is>
      </c>
      <c r="F30" s="15" t="n">
        <v>23</v>
      </c>
      <c r="G30" s="21" t="inlineStr">
        <is>
          <t xml:space="preserve">        카테고리별 비율 계산 함수 구현</t>
        </is>
      </c>
      <c r="H30" s="19" t="inlineStr">
        <is>
          <t>Closed</t>
        </is>
      </c>
      <c r="I30" s="16" t="n"/>
      <c r="J30" s="15" t="n">
        <v>22</v>
      </c>
      <c r="K30" s="20" t="inlineStr">
        <is>
          <t>#23</t>
        </is>
      </c>
    </row>
    <row r="31" outlineLevel="2">
      <c r="A31" s="15" t="n">
        <v>30</v>
      </c>
      <c r="B31" s="16" t="inlineStr">
        <is>
          <t>Epic 2</t>
        </is>
      </c>
      <c r="C31" s="16" t="inlineStr">
        <is>
          <t>Story 2-3</t>
        </is>
      </c>
      <c r="D31" s="15" t="n">
        <v>3</v>
      </c>
      <c r="E31" s="17" t="inlineStr">
        <is>
          <t>Task</t>
        </is>
      </c>
      <c r="F31" s="15" t="n">
        <v>24</v>
      </c>
      <c r="G31" s="18" t="inlineStr">
        <is>
          <t xml:space="preserve">        Shannon Entropy 계산 함수 구현</t>
        </is>
      </c>
      <c r="H31" s="19" t="inlineStr">
        <is>
          <t>Closed</t>
        </is>
      </c>
      <c r="I31" s="16" t="n"/>
      <c r="J31" s="15" t="n">
        <v>22</v>
      </c>
      <c r="K31" s="20" t="inlineStr">
        <is>
          <t>#24</t>
        </is>
      </c>
    </row>
    <row r="32" outlineLevel="2">
      <c r="A32" s="15" t="n">
        <v>31</v>
      </c>
      <c r="B32" s="16" t="inlineStr">
        <is>
          <t>Epic 2</t>
        </is>
      </c>
      <c r="C32" s="16" t="inlineStr">
        <is>
          <t>Story 2-3</t>
        </is>
      </c>
      <c r="D32" s="15" t="n">
        <v>3</v>
      </c>
      <c r="E32" s="17" t="inlineStr">
        <is>
          <t>Task</t>
        </is>
      </c>
      <c r="F32" s="15" t="n">
        <v>25</v>
      </c>
      <c r="G32" s="21" t="inlineStr">
        <is>
          <t xml:space="preserve">        세션 분석 결과 데이터 구조 정의 및 storage 저장</t>
        </is>
      </c>
      <c r="H32" s="19" t="inlineStr">
        <is>
          <t>Closed</t>
        </is>
      </c>
      <c r="I32" s="16" t="n"/>
      <c r="J32" s="15" t="n">
        <v>22</v>
      </c>
      <c r="K32" s="20" t="inlineStr">
        <is>
          <t>#25</t>
        </is>
      </c>
    </row>
    <row r="33" outlineLevel="1">
      <c r="A33" s="15" t="n">
        <v>32</v>
      </c>
      <c r="B33" s="16" t="inlineStr">
        <is>
          <t>Epic 2</t>
        </is>
      </c>
      <c r="C33" s="16" t="inlineStr">
        <is>
          <t>Story 2-3</t>
        </is>
      </c>
      <c r="D33" s="15" t="n">
        <v>3</v>
      </c>
      <c r="E33" s="17" t="inlineStr">
        <is>
          <t>Task</t>
        </is>
      </c>
      <c r="F33" s="15" t="n">
        <v>63</v>
      </c>
      <c r="G33" s="18" t="inlineStr">
        <is>
          <t xml:space="preserve">        feat: 세션별 카테고리 분포를 Shannon Entropy로 계산할 수 있다</t>
        </is>
      </c>
      <c r="H33" s="19" t="inlineStr">
        <is>
          <t>Closed</t>
        </is>
      </c>
      <c r="I33" s="16" t="inlineStr">
        <is>
          <t>#64</t>
        </is>
      </c>
      <c r="J33" s="15" t="n">
        <v>22</v>
      </c>
      <c r="K33" s="20" t="inlineStr">
        <is>
          <t>#63</t>
        </is>
      </c>
    </row>
    <row r="34" outlineLevel="2">
      <c r="A34" s="9" t="n">
        <v>33</v>
      </c>
      <c r="B34" s="10" t="inlineStr">
        <is>
          <t>Epic 2</t>
        </is>
      </c>
      <c r="C34" s="10" t="inlineStr">
        <is>
          <t>Story 2-4</t>
        </is>
      </c>
      <c r="D34" s="9" t="n">
        <v>2</v>
      </c>
      <c r="E34" s="11" t="inlineStr">
        <is>
          <t>Story</t>
        </is>
      </c>
      <c r="F34" s="9" t="n">
        <v>26</v>
      </c>
      <c r="G34" s="12" t="inlineStr">
        <is>
          <t xml:space="preserve">    Story 2-4: LLM API를 통해 카테고리 분포 기반 자연어 리뷰를 자동 생성할 수 있다</t>
        </is>
      </c>
      <c r="H34" s="13" t="inlineStr">
        <is>
          <t>Closed</t>
        </is>
      </c>
      <c r="I34" s="10" t="n"/>
      <c r="J34" s="9" t="n">
        <v>12</v>
      </c>
      <c r="K34" s="14" t="inlineStr">
        <is>
          <t>#26</t>
        </is>
      </c>
    </row>
    <row r="35" outlineLevel="2">
      <c r="A35" s="15" t="n">
        <v>34</v>
      </c>
      <c r="B35" s="16" t="inlineStr">
        <is>
          <t>Epic 2</t>
        </is>
      </c>
      <c r="C35" s="16" t="inlineStr">
        <is>
          <t>Story 2-4</t>
        </is>
      </c>
      <c r="D35" s="15" t="n">
        <v>3</v>
      </c>
      <c r="E35" s="17" t="inlineStr">
        <is>
          <t>Task</t>
        </is>
      </c>
      <c r="F35" s="15" t="n">
        <v>27</v>
      </c>
      <c r="G35" s="18" t="inlineStr">
        <is>
          <t xml:space="preserve">        LLM API 선택 및 키 발급</t>
        </is>
      </c>
      <c r="H35" s="19" t="inlineStr">
        <is>
          <t>Closed</t>
        </is>
      </c>
      <c r="I35" s="16" t="n"/>
      <c r="J35" s="15" t="n">
        <v>26</v>
      </c>
      <c r="K35" s="20" t="inlineStr">
        <is>
          <t>#27</t>
        </is>
      </c>
    </row>
    <row r="36" outlineLevel="2">
      <c r="A36" s="15" t="n">
        <v>35</v>
      </c>
      <c r="B36" s="16" t="inlineStr">
        <is>
          <t>Epic 2</t>
        </is>
      </c>
      <c r="C36" s="16" t="inlineStr">
        <is>
          <t>Story 2-4</t>
        </is>
      </c>
      <c r="D36" s="15" t="n">
        <v>3</v>
      </c>
      <c r="E36" s="17" t="inlineStr">
        <is>
          <t>Task</t>
        </is>
      </c>
      <c r="F36" s="15" t="n">
        <v>28</v>
      </c>
      <c r="G36" s="21" t="inlineStr">
        <is>
          <t xml:space="preserve">        카테고리 분포를 LLM 프롬프트로 변환하는 함수 구현</t>
        </is>
      </c>
      <c r="H36" s="19" t="inlineStr">
        <is>
          <t>Closed</t>
        </is>
      </c>
      <c r="I36" s="16" t="n"/>
      <c r="J36" s="15" t="n">
        <v>26</v>
      </c>
      <c r="K36" s="20" t="inlineStr">
        <is>
          <t>#28</t>
        </is>
      </c>
    </row>
    <row r="37" outlineLevel="2">
      <c r="A37" s="15" t="n">
        <v>36</v>
      </c>
      <c r="B37" s="16" t="inlineStr">
        <is>
          <t>Epic 2</t>
        </is>
      </c>
      <c r="C37" s="16" t="inlineStr">
        <is>
          <t>Story 2-4</t>
        </is>
      </c>
      <c r="D37" s="15" t="n">
        <v>3</v>
      </c>
      <c r="E37" s="17" t="inlineStr">
        <is>
          <t>Task</t>
        </is>
      </c>
      <c r="F37" s="15" t="n">
        <v>29</v>
      </c>
      <c r="G37" s="18" t="inlineStr">
        <is>
          <t xml:space="preserve">        LLM API 호출 및 응답 파싱 함수 구현</t>
        </is>
      </c>
      <c r="H37" s="19" t="inlineStr">
        <is>
          <t>Closed</t>
        </is>
      </c>
      <c r="I37" s="16" t="n"/>
      <c r="J37" s="15" t="n">
        <v>26</v>
      </c>
      <c r="K37" s="20" t="inlineStr">
        <is>
          <t>#29</t>
        </is>
      </c>
    </row>
    <row r="38" outlineLevel="2">
      <c r="A38" s="15" t="n">
        <v>37</v>
      </c>
      <c r="B38" s="16" t="inlineStr">
        <is>
          <t>Epic 2</t>
        </is>
      </c>
      <c r="C38" s="16" t="inlineStr">
        <is>
          <t>Story 2-4</t>
        </is>
      </c>
      <c r="D38" s="15" t="n">
        <v>3</v>
      </c>
      <c r="E38" s="17" t="inlineStr">
        <is>
          <t>Task</t>
        </is>
      </c>
      <c r="F38" s="15" t="n">
        <v>30</v>
      </c>
      <c r="G38" s="21" t="inlineStr">
        <is>
          <t xml:space="preserve">        리뷰 생성 실패 시 폴백 처리 구현</t>
        </is>
      </c>
      <c r="H38" s="19" t="inlineStr">
        <is>
          <t>Closed</t>
        </is>
      </c>
      <c r="I38" s="16" t="n"/>
      <c r="J38" s="15" t="n">
        <v>26</v>
      </c>
      <c r="K38" s="20" t="inlineStr">
        <is>
          <t>#30</t>
        </is>
      </c>
    </row>
    <row r="39" outlineLevel="2">
      <c r="A39" s="15" t="n">
        <v>38</v>
      </c>
      <c r="B39" s="16" t="inlineStr">
        <is>
          <t>Epic 2</t>
        </is>
      </c>
      <c r="C39" s="16" t="inlineStr">
        <is>
          <t>Story 2-4</t>
        </is>
      </c>
      <c r="D39" s="15" t="n">
        <v>3</v>
      </c>
      <c r="E39" s="17" t="inlineStr">
        <is>
          <t>Task</t>
        </is>
      </c>
      <c r="F39" s="15" t="n">
        <v>65</v>
      </c>
      <c r="G39" s="18" t="inlineStr">
        <is>
          <t xml:space="preserve">        feat: LLM API를 통해 카테고리 분포 기반 자연어 리뷰를 자동 생성할 수 있다</t>
        </is>
      </c>
      <c r="H39" s="19" t="inlineStr">
        <is>
          <t>Closed</t>
        </is>
      </c>
      <c r="I39" s="16" t="inlineStr">
        <is>
          <t>#66</t>
        </is>
      </c>
      <c r="J39" s="15" t="n">
        <v>26</v>
      </c>
      <c r="K39" s="20" t="inlineStr">
        <is>
          <t>#65</t>
        </is>
      </c>
    </row>
    <row r="40">
      <c r="A40" s="15" t="n">
        <v>39</v>
      </c>
      <c r="B40" s="16" t="inlineStr">
        <is>
          <t>Epic 2</t>
        </is>
      </c>
      <c r="C40" s="16" t="inlineStr">
        <is>
          <t>Story 2-4</t>
        </is>
      </c>
      <c r="D40" s="15" t="n">
        <v>3</v>
      </c>
      <c r="E40" s="17" t="inlineStr">
        <is>
          <t>Task</t>
        </is>
      </c>
      <c r="F40" s="15" t="n">
        <v>102</v>
      </c>
      <c r="G40" s="18" t="inlineStr">
        <is>
          <t xml:space="preserve">        feat: 시청 패턴 변화 기반 연구 맞춤형 피드백 생성</t>
        </is>
      </c>
      <c r="H40" s="19" t="inlineStr">
        <is>
          <t>Closed</t>
        </is>
      </c>
      <c r="I40" s="16" t="inlineStr">
        <is>
          <t>#103</t>
        </is>
      </c>
      <c r="J40" s="15" t="n">
        <v>26</v>
      </c>
      <c r="K40" s="20" t="inlineStr">
        <is>
          <t>#102</t>
        </is>
      </c>
    </row>
    <row r="41" outlineLevel="1">
      <c r="A41" s="3" t="n">
        <v>40</v>
      </c>
      <c r="B41" s="4" t="inlineStr">
        <is>
          <t>Epic 3</t>
        </is>
      </c>
      <c r="C41" s="4" t="n"/>
      <c r="D41" s="3" t="n">
        <v>1</v>
      </c>
      <c r="E41" s="5" t="inlineStr">
        <is>
          <t>Epic</t>
        </is>
      </c>
      <c r="F41" s="3" t="n">
        <v>31</v>
      </c>
      <c r="G41" s="6" t="inlineStr">
        <is>
          <t>Epic 3: 팝업 UI &amp; 시각화</t>
        </is>
      </c>
      <c r="H41" s="7" t="inlineStr">
        <is>
          <t>Closed</t>
        </is>
      </c>
      <c r="I41" s="4" t="n"/>
      <c r="J41" s="3" t="n"/>
      <c r="K41" s="8" t="inlineStr">
        <is>
          <t>#31</t>
        </is>
      </c>
    </row>
    <row r="42" outlineLevel="2">
      <c r="A42" s="9" t="n">
        <v>41</v>
      </c>
      <c r="B42" s="10" t="inlineStr">
        <is>
          <t>Epic 3</t>
        </is>
      </c>
      <c r="C42" s="10" t="inlineStr">
        <is>
          <t>Story 3-1</t>
        </is>
      </c>
      <c r="D42" s="9" t="n">
        <v>2</v>
      </c>
      <c r="E42" s="11" t="inlineStr">
        <is>
          <t>Story</t>
        </is>
      </c>
      <c r="F42" s="9" t="n">
        <v>32</v>
      </c>
      <c r="G42" s="12" t="inlineStr">
        <is>
          <t xml:space="preserve">    Story 3-1: 팝업에서 세션의 카테고리 분포를 막대그래프로 확인할 수 있다</t>
        </is>
      </c>
      <c r="H42" s="13" t="inlineStr">
        <is>
          <t>Closed</t>
        </is>
      </c>
      <c r="I42" s="10" t="n"/>
      <c r="J42" s="9" t="n">
        <v>31</v>
      </c>
      <c r="K42" s="14" t="inlineStr">
        <is>
          <t>#32</t>
        </is>
      </c>
    </row>
    <row r="43" outlineLevel="2">
      <c r="A43" s="15" t="n">
        <v>42</v>
      </c>
      <c r="B43" s="16" t="inlineStr">
        <is>
          <t>Epic 3</t>
        </is>
      </c>
      <c r="C43" s="16" t="inlineStr">
        <is>
          <t>Story 3-1</t>
        </is>
      </c>
      <c r="D43" s="15" t="n">
        <v>3</v>
      </c>
      <c r="E43" s="17" t="inlineStr">
        <is>
          <t>Task</t>
        </is>
      </c>
      <c r="F43" s="15" t="n">
        <v>33</v>
      </c>
      <c r="G43" s="18" t="inlineStr">
        <is>
          <t xml:space="preserve">        popup.html / popup.js 기본 구조 작성</t>
        </is>
      </c>
      <c r="H43" s="19" t="inlineStr">
        <is>
          <t>Closed</t>
        </is>
      </c>
      <c r="I43" s="16" t="n"/>
      <c r="J43" s="15" t="n">
        <v>32</v>
      </c>
      <c r="K43" s="20" t="inlineStr">
        <is>
          <t>#33</t>
        </is>
      </c>
    </row>
    <row r="44" outlineLevel="2">
      <c r="A44" s="15" t="n">
        <v>43</v>
      </c>
      <c r="B44" s="16" t="inlineStr">
        <is>
          <t>Epic 3</t>
        </is>
      </c>
      <c r="C44" s="16" t="inlineStr">
        <is>
          <t>Story 3-1</t>
        </is>
      </c>
      <c r="D44" s="15" t="n">
        <v>3</v>
      </c>
      <c r="E44" s="17" t="inlineStr">
        <is>
          <t>Task</t>
        </is>
      </c>
      <c r="F44" s="15" t="n">
        <v>34</v>
      </c>
      <c r="G44" s="21" t="inlineStr">
        <is>
          <t xml:space="preserve">        카테고리 분포 막대그래프 렌더링 구현</t>
        </is>
      </c>
      <c r="H44" s="19" t="inlineStr">
        <is>
          <t>Closed</t>
        </is>
      </c>
      <c r="I44" s="16" t="n"/>
      <c r="J44" s="15" t="n">
        <v>32</v>
      </c>
      <c r="K44" s="20" t="inlineStr">
        <is>
          <t>#34</t>
        </is>
      </c>
    </row>
    <row r="45" outlineLevel="2">
      <c r="A45" s="15" t="n">
        <v>44</v>
      </c>
      <c r="B45" s="16" t="inlineStr">
        <is>
          <t>Epic 3</t>
        </is>
      </c>
      <c r="C45" s="16" t="inlineStr">
        <is>
          <t>Story 3-1</t>
        </is>
      </c>
      <c r="D45" s="15" t="n">
        <v>3</v>
      </c>
      <c r="E45" s="17" t="inlineStr">
        <is>
          <t>Task</t>
        </is>
      </c>
      <c r="F45" s="15" t="n">
        <v>35</v>
      </c>
      <c r="G45" s="21" t="inlineStr">
        <is>
          <t xml:space="preserve">        팝업 CSS 스타일링</t>
        </is>
      </c>
      <c r="H45" s="19" t="inlineStr">
        <is>
          <t>Closed</t>
        </is>
      </c>
      <c r="I45" s="16" t="n"/>
      <c r="J45" s="15" t="n">
        <v>32</v>
      </c>
      <c r="K45" s="20" t="inlineStr">
        <is>
          <t>#35</t>
        </is>
      </c>
    </row>
    <row r="46" outlineLevel="1">
      <c r="A46" s="15" t="n">
        <v>45</v>
      </c>
      <c r="B46" s="16" t="inlineStr">
        <is>
          <t>Epic 3</t>
        </is>
      </c>
      <c r="C46" s="16" t="inlineStr">
        <is>
          <t>Story 3-1</t>
        </is>
      </c>
      <c r="D46" s="15" t="n">
        <v>3</v>
      </c>
      <c r="E46" s="17" t="inlineStr">
        <is>
          <t>Task</t>
        </is>
      </c>
      <c r="F46" s="15" t="n">
        <v>67</v>
      </c>
      <c r="G46" s="18" t="inlineStr">
        <is>
          <t xml:space="preserve">        feat: 팝업에서 세션의 카테고리 분포를 막대그래프로 확인할 수 있다</t>
        </is>
      </c>
      <c r="H46" s="19" t="inlineStr">
        <is>
          <t>Closed</t>
        </is>
      </c>
      <c r="I46" s="16" t="inlineStr">
        <is>
          <t>#68</t>
        </is>
      </c>
      <c r="J46" s="15" t="n">
        <v>32</v>
      </c>
      <c r="K46" s="20" t="inlineStr">
        <is>
          <t>#67</t>
        </is>
      </c>
    </row>
    <row r="47" outlineLevel="2">
      <c r="A47" s="9" t="n">
        <v>46</v>
      </c>
      <c r="B47" s="10" t="inlineStr">
        <is>
          <t>Epic 3</t>
        </is>
      </c>
      <c r="C47" s="10" t="inlineStr">
        <is>
          <t>Story 3-2</t>
        </is>
      </c>
      <c r="D47" s="9" t="n">
        <v>2</v>
      </c>
      <c r="E47" s="11" t="inlineStr">
        <is>
          <t>Story</t>
        </is>
      </c>
      <c r="F47" s="9" t="n">
        <v>36</v>
      </c>
      <c r="G47" s="12" t="inlineStr">
        <is>
          <t xml:space="preserve">    Story 3-2: 팝업에서 세션 종료 후 자동 생성된 자연어 리뷰를 확인할 수 있다</t>
        </is>
      </c>
      <c r="H47" s="13" t="inlineStr">
        <is>
          <t>Closed</t>
        </is>
      </c>
      <c r="I47" s="10" t="n"/>
      <c r="J47" s="9" t="n">
        <v>31</v>
      </c>
      <c r="K47" s="14" t="inlineStr">
        <is>
          <t>#36</t>
        </is>
      </c>
    </row>
    <row r="48" outlineLevel="2">
      <c r="A48" s="15" t="n">
        <v>47</v>
      </c>
      <c r="B48" s="16" t="inlineStr">
        <is>
          <t>Epic 3</t>
        </is>
      </c>
      <c r="C48" s="16" t="inlineStr">
        <is>
          <t>Story 3-2</t>
        </is>
      </c>
      <c r="D48" s="15" t="n">
        <v>3</v>
      </c>
      <c r="E48" s="17" t="inlineStr">
        <is>
          <t>Task</t>
        </is>
      </c>
      <c r="F48" s="15" t="n">
        <v>37</v>
      </c>
      <c r="G48" s="21" t="inlineStr">
        <is>
          <t xml:space="preserve">        리뷰 텍스트 표시 영역 구현</t>
        </is>
      </c>
      <c r="H48" s="19" t="inlineStr">
        <is>
          <t>Closed</t>
        </is>
      </c>
      <c r="I48" s="16" t="n"/>
      <c r="J48" s="15" t="n">
        <v>36</v>
      </c>
      <c r="K48" s="20" t="inlineStr">
        <is>
          <t>#37</t>
        </is>
      </c>
    </row>
    <row r="49" outlineLevel="2">
      <c r="A49" s="15" t="n">
        <v>48</v>
      </c>
      <c r="B49" s="16" t="inlineStr">
        <is>
          <t>Epic 3</t>
        </is>
      </c>
      <c r="C49" s="16" t="inlineStr">
        <is>
          <t>Story 3-2</t>
        </is>
      </c>
      <c r="D49" s="15" t="n">
        <v>3</v>
      </c>
      <c r="E49" s="17" t="inlineStr">
        <is>
          <t>Task</t>
        </is>
      </c>
      <c r="F49" s="15" t="n">
        <v>38</v>
      </c>
      <c r="G49" s="21" t="inlineStr">
        <is>
          <t xml:space="preserve">        리뷰 생성 로딩 상태 UI 구현</t>
        </is>
      </c>
      <c r="H49" s="19" t="inlineStr">
        <is>
          <t>Closed</t>
        </is>
      </c>
      <c r="I49" s="16" t="n"/>
      <c r="J49" s="15" t="n">
        <v>36</v>
      </c>
      <c r="K49" s="20" t="inlineStr">
        <is>
          <t>#38</t>
        </is>
      </c>
    </row>
    <row r="50" outlineLevel="1">
      <c r="A50" s="15" t="n">
        <v>49</v>
      </c>
      <c r="B50" s="16" t="inlineStr">
        <is>
          <t>Epic 3</t>
        </is>
      </c>
      <c r="C50" s="16" t="inlineStr">
        <is>
          <t>Story 3-2</t>
        </is>
      </c>
      <c r="D50" s="15" t="n">
        <v>3</v>
      </c>
      <c r="E50" s="17" t="inlineStr">
        <is>
          <t>Task</t>
        </is>
      </c>
      <c r="F50" s="15" t="n">
        <v>69</v>
      </c>
      <c r="G50" s="18" t="inlineStr">
        <is>
          <t xml:space="preserve">        feat: 팝업에서 세션 종료 후 자동 생성된 자연어 리뷰를 확인할 수 있다</t>
        </is>
      </c>
      <c r="H50" s="19" t="inlineStr">
        <is>
          <t>Closed</t>
        </is>
      </c>
      <c r="I50" s="16" t="inlineStr">
        <is>
          <t>#70</t>
        </is>
      </c>
      <c r="J50" s="15" t="n">
        <v>36</v>
      </c>
      <c r="K50" s="20" t="inlineStr">
        <is>
          <t>#69</t>
        </is>
      </c>
    </row>
    <row r="51" outlineLevel="2">
      <c r="A51" s="9" t="n">
        <v>50</v>
      </c>
      <c r="B51" s="10" t="inlineStr">
        <is>
          <t>Epic 3</t>
        </is>
      </c>
      <c r="C51" s="10" t="inlineStr">
        <is>
          <t>Story 3-3</t>
        </is>
      </c>
      <c r="D51" s="9" t="n">
        <v>2</v>
      </c>
      <c r="E51" s="11" t="inlineStr">
        <is>
          <t>Story</t>
        </is>
      </c>
      <c r="F51" s="9" t="n">
        <v>39</v>
      </c>
      <c r="G51" s="12" t="inlineStr">
        <is>
          <t xml:space="preserve">    Story 3-3: 주간 리포트를 통해 기간별 카테고리 소비 패턴 변화를 확인할 수 있다</t>
        </is>
      </c>
      <c r="H51" s="13" t="inlineStr">
        <is>
          <t>Closed</t>
        </is>
      </c>
      <c r="I51" s="10" t="n"/>
      <c r="J51" s="9" t="n">
        <v>31</v>
      </c>
      <c r="K51" s="14" t="inlineStr">
        <is>
          <t>#39</t>
        </is>
      </c>
    </row>
    <row r="52" outlineLevel="2">
      <c r="A52" s="15" t="n">
        <v>51</v>
      </c>
      <c r="B52" s="16" t="inlineStr">
        <is>
          <t>Epic 3</t>
        </is>
      </c>
      <c r="C52" s="16" t="inlineStr">
        <is>
          <t>Story 3-3</t>
        </is>
      </c>
      <c r="D52" s="15" t="n">
        <v>3</v>
      </c>
      <c r="E52" s="17" t="inlineStr">
        <is>
          <t>Task</t>
        </is>
      </c>
      <c r="F52" s="15" t="n">
        <v>40</v>
      </c>
      <c r="G52" s="21" t="inlineStr">
        <is>
          <t xml:space="preserve">        최근 7일 누적 세션 데이터 집계 함수 구현</t>
        </is>
      </c>
      <c r="H52" s="19" t="inlineStr">
        <is>
          <t>Closed</t>
        </is>
      </c>
      <c r="I52" s="16" t="n"/>
      <c r="J52" s="15" t="n">
        <v>39</v>
      </c>
      <c r="K52" s="20" t="inlineStr">
        <is>
          <t>#40</t>
        </is>
      </c>
    </row>
    <row r="53" outlineLevel="2">
      <c r="A53" s="15" t="n">
        <v>52</v>
      </c>
      <c r="B53" s="16" t="inlineStr">
        <is>
          <t>Epic 3</t>
        </is>
      </c>
      <c r="C53" s="16" t="inlineStr">
        <is>
          <t>Story 3-3</t>
        </is>
      </c>
      <c r="D53" s="15" t="n">
        <v>3</v>
      </c>
      <c r="E53" s="17" t="inlineStr">
        <is>
          <t>Task</t>
        </is>
      </c>
      <c r="F53" s="15" t="n">
        <v>41</v>
      </c>
      <c r="G53" s="21" t="inlineStr">
        <is>
          <t xml:space="preserve">        주간 카테고리 분포 변화 시각화 구현</t>
        </is>
      </c>
      <c r="H53" s="19" t="inlineStr">
        <is>
          <t>Closed</t>
        </is>
      </c>
      <c r="I53" s="16" t="n"/>
      <c r="J53" s="15" t="n">
        <v>39</v>
      </c>
      <c r="K53" s="20" t="inlineStr">
        <is>
          <t>#41</t>
        </is>
      </c>
    </row>
    <row r="54" outlineLevel="2">
      <c r="A54" s="15" t="n">
        <v>53</v>
      </c>
      <c r="B54" s="16" t="inlineStr">
        <is>
          <t>Epic 3</t>
        </is>
      </c>
      <c r="C54" s="16" t="inlineStr">
        <is>
          <t>Story 3-3</t>
        </is>
      </c>
      <c r="D54" s="15" t="n">
        <v>3</v>
      </c>
      <c r="E54" s="17" t="inlineStr">
        <is>
          <t>Task</t>
        </is>
      </c>
      <c r="F54" s="15" t="n">
        <v>42</v>
      </c>
      <c r="G54" s="18" t="inlineStr">
        <is>
          <t xml:space="preserve">        Entropy 변화 추이 표시 구현</t>
        </is>
      </c>
      <c r="H54" s="19" t="inlineStr">
        <is>
          <t>Closed</t>
        </is>
      </c>
      <c r="I54" s="16" t="n"/>
      <c r="J54" s="15" t="n">
        <v>39</v>
      </c>
      <c r="K54" s="20" t="inlineStr">
        <is>
          <t>#42</t>
        </is>
      </c>
    </row>
    <row r="55" outlineLevel="1">
      <c r="A55" s="15" t="n">
        <v>54</v>
      </c>
      <c r="B55" s="16" t="inlineStr">
        <is>
          <t>Epic 3</t>
        </is>
      </c>
      <c r="C55" s="16" t="inlineStr">
        <is>
          <t>Story 3-3</t>
        </is>
      </c>
      <c r="D55" s="15" t="n">
        <v>3</v>
      </c>
      <c r="E55" s="17" t="inlineStr">
        <is>
          <t>Task</t>
        </is>
      </c>
      <c r="F55" s="15" t="n">
        <v>71</v>
      </c>
      <c r="G55" s="18" t="inlineStr">
        <is>
          <t xml:space="preserve">        feat: 주간 리포트를 통해 기간별 카테고리 소비 패턴 변화를 확인할 수 있다</t>
        </is>
      </c>
      <c r="H55" s="19" t="inlineStr">
        <is>
          <t>Closed</t>
        </is>
      </c>
      <c r="I55" s="16" t="inlineStr">
        <is>
          <t>#72</t>
        </is>
      </c>
      <c r="J55" s="15" t="n">
        <v>39</v>
      </c>
      <c r="K55" s="20" t="inlineStr">
        <is>
          <t>#71</t>
        </is>
      </c>
    </row>
    <row r="56" outlineLevel="2">
      <c r="A56" s="15" t="n">
        <v>55</v>
      </c>
      <c r="B56" s="16" t="inlineStr">
        <is>
          <t>Epic 3</t>
        </is>
      </c>
      <c r="C56" s="16" t="inlineStr">
        <is>
          <t>Story 3-3</t>
        </is>
      </c>
      <c r="D56" s="15" t="n">
        <v>3</v>
      </c>
      <c r="E56" s="17" t="inlineStr">
        <is>
          <t>Bug</t>
        </is>
      </c>
      <c r="F56" s="15" t="n">
        <v>301</v>
      </c>
      <c r="G56" s="18" t="inlineStr">
        <is>
          <t xml:space="preserve">        fix: 끝난 구간의 기간 리뷰가 팝업 캐시 때문에 다음 날까지 보이지 않음</t>
        </is>
      </c>
      <c r="H56" s="19" t="inlineStr">
        <is>
          <t>Open</t>
        </is>
      </c>
      <c r="I56" s="16" t="n"/>
      <c r="J56" s="15" t="n">
        <v>39</v>
      </c>
      <c r="K56" s="20" t="inlineStr">
        <is>
          <t>#301</t>
        </is>
      </c>
    </row>
    <row r="57" outlineLevel="1">
      <c r="A57" s="9" t="n">
        <v>56</v>
      </c>
      <c r="B57" s="10" t="inlineStr">
        <is>
          <t>Epic 3</t>
        </is>
      </c>
      <c r="C57" s="10" t="inlineStr">
        <is>
          <t>Story 3-5</t>
        </is>
      </c>
      <c r="D57" s="9" t="n">
        <v>2</v>
      </c>
      <c r="E57" s="11" t="inlineStr">
        <is>
          <t>Story</t>
        </is>
      </c>
      <c r="F57" s="9" t="n">
        <v>270</v>
      </c>
      <c r="G57" s="12" t="inlineStr">
        <is>
          <t xml:space="preserve">    Story 3-5: 참가자마다 익명 ID가 발급되어 데이터가 참가자 단위로 저장된다</t>
        </is>
      </c>
      <c r="H57" s="23" t="inlineStr">
        <is>
          <t>Open</t>
        </is>
      </c>
      <c r="I57" s="10" t="n"/>
      <c r="J57" s="9" t="n">
        <v>31</v>
      </c>
      <c r="K57" s="14" t="inlineStr">
        <is>
          <t>#270</t>
        </is>
      </c>
    </row>
    <row r="58" outlineLevel="2">
      <c r="A58" s="15" t="n">
        <v>57</v>
      </c>
      <c r="B58" s="16" t="inlineStr">
        <is>
          <t>Epic 3</t>
        </is>
      </c>
      <c r="C58" s="16" t="inlineStr">
        <is>
          <t>Story 3-5</t>
        </is>
      </c>
      <c r="D58" s="15" t="n">
        <v>3</v>
      </c>
      <c r="E58" s="17" t="inlineStr">
        <is>
          <t>Task</t>
        </is>
      </c>
      <c r="F58" s="15" t="n">
        <v>88</v>
      </c>
      <c r="G58" s="18" t="inlineStr">
        <is>
          <t xml:space="preserve">        feat: 온보딩 시 anonymousId(UUID) 생성</t>
        </is>
      </c>
      <c r="H58" s="19" t="inlineStr">
        <is>
          <t>Closed</t>
        </is>
      </c>
      <c r="I58" s="16" t="inlineStr">
        <is>
          <t>#90</t>
        </is>
      </c>
      <c r="J58" s="15" t="n">
        <v>270</v>
      </c>
      <c r="K58" s="20" t="inlineStr">
        <is>
          <t>#88</t>
        </is>
      </c>
    </row>
    <row r="59" outlineLevel="2">
      <c r="A59" s="9" t="n">
        <v>58</v>
      </c>
      <c r="B59" s="10" t="inlineStr">
        <is>
          <t>Epic 3</t>
        </is>
      </c>
      <c r="C59" s="10" t="inlineStr">
        <is>
          <t>Story 3-6</t>
        </is>
      </c>
      <c r="D59" s="9" t="n">
        <v>2</v>
      </c>
      <c r="E59" s="11" t="inlineStr">
        <is>
          <t>Story</t>
        </is>
      </c>
      <c r="F59" s="9" t="n">
        <v>290</v>
      </c>
      <c r="G59" s="12" t="inlineStr">
        <is>
          <t xml:space="preserve">    Story 3-6: 참가자가 개편된 팝업에서 집단별 화면과 오늘의 시청 현황을 볼 수 있다</t>
        </is>
      </c>
      <c r="H59" s="23" t="inlineStr">
        <is>
          <t>Open</t>
        </is>
      </c>
      <c r="I59" s="10" t="n"/>
      <c r="J59" s="9" t="n">
        <v>31</v>
      </c>
      <c r="K59" s="14" t="inlineStr">
        <is>
          <t>#290</t>
        </is>
      </c>
    </row>
    <row r="60">
      <c r="A60" s="15" t="n">
        <v>59</v>
      </c>
      <c r="B60" s="16" t="inlineStr">
        <is>
          <t>Epic 3</t>
        </is>
      </c>
      <c r="C60" s="16" t="inlineStr">
        <is>
          <t>Story 3-6</t>
        </is>
      </c>
      <c r="D60" s="15" t="n">
        <v>3</v>
      </c>
      <c r="E60" s="17" t="inlineStr">
        <is>
          <t>Task</t>
        </is>
      </c>
      <c r="F60" s="15" t="n">
        <v>86</v>
      </c>
      <c r="G60" s="18" t="inlineStr">
        <is>
          <t xml:space="preserve">        feat: 팝업 UI 전면 개편(실험군/대조군에 따른 UI 분기)</t>
        </is>
      </c>
      <c r="H60" s="19" t="inlineStr">
        <is>
          <t>Closed</t>
        </is>
      </c>
      <c r="I60" s="16" t="inlineStr">
        <is>
          <t>#87</t>
        </is>
      </c>
      <c r="J60" s="15" t="n">
        <v>290</v>
      </c>
      <c r="K60" s="20" t="inlineStr">
        <is>
          <t>#86</t>
        </is>
      </c>
    </row>
    <row r="61" outlineLevel="1">
      <c r="A61" s="15" t="n">
        <v>60</v>
      </c>
      <c r="B61" s="16" t="inlineStr">
        <is>
          <t>Epic 3</t>
        </is>
      </c>
      <c r="C61" s="16" t="inlineStr">
        <is>
          <t>Story 3-6</t>
        </is>
      </c>
      <c r="D61" s="15" t="n">
        <v>3</v>
      </c>
      <c r="E61" s="17" t="inlineStr">
        <is>
          <t>Task</t>
        </is>
      </c>
      <c r="F61" s="15" t="n">
        <v>95</v>
      </c>
      <c r="G61" s="18" t="inlineStr">
        <is>
          <t xml:space="preserve">        feat: 오늘의 시청 탭 ux 개선</t>
        </is>
      </c>
      <c r="H61" s="19" t="inlineStr">
        <is>
          <t>Closed</t>
        </is>
      </c>
      <c r="I61" s="16" t="inlineStr">
        <is>
          <t>#96</t>
        </is>
      </c>
      <c r="J61" s="15" t="n">
        <v>290</v>
      </c>
      <c r="K61" s="20" t="inlineStr">
        <is>
          <t>#95</t>
        </is>
      </c>
    </row>
    <row r="62" outlineLevel="2">
      <c r="A62" s="3" t="n">
        <v>61</v>
      </c>
      <c r="B62" s="4" t="inlineStr">
        <is>
          <t>Epic 4</t>
        </is>
      </c>
      <c r="C62" s="4" t="n"/>
      <c r="D62" s="3" t="n">
        <v>1</v>
      </c>
      <c r="E62" s="5" t="inlineStr">
        <is>
          <t>Epic</t>
        </is>
      </c>
      <c r="F62" s="3" t="n">
        <v>43</v>
      </c>
      <c r="G62" s="6" t="inlineStr">
        <is>
          <t>Epic 4: 백엔드 서버 - API &amp; DB</t>
        </is>
      </c>
      <c r="H62" s="7" t="inlineStr">
        <is>
          <t>Closed</t>
        </is>
      </c>
      <c r="I62" s="4" t="n"/>
      <c r="J62" s="3" t="n"/>
      <c r="K62" s="8" t="inlineStr">
        <is>
          <t>#43</t>
        </is>
      </c>
    </row>
    <row r="63" outlineLevel="2">
      <c r="A63" s="9" t="n">
        <v>62</v>
      </c>
      <c r="B63" s="10" t="inlineStr">
        <is>
          <t>Epic 4</t>
        </is>
      </c>
      <c r="C63" s="10" t="inlineStr">
        <is>
          <t>Story 4-1</t>
        </is>
      </c>
      <c r="D63" s="9" t="n">
        <v>2</v>
      </c>
      <c r="E63" s="11" t="inlineStr">
        <is>
          <t>Story</t>
        </is>
      </c>
      <c r="F63" s="9" t="n">
        <v>44</v>
      </c>
      <c r="G63" s="12" t="inlineStr">
        <is>
          <t xml:space="preserve">    Story 4-1: 서버가 익명화된 세션 분석 결과를 수신하여 DB에 저장할 수 있다</t>
        </is>
      </c>
      <c r="H63" s="13" t="inlineStr">
        <is>
          <t>Closed</t>
        </is>
      </c>
      <c r="I63" s="10" t="n"/>
      <c r="J63" s="9" t="n">
        <v>43</v>
      </c>
      <c r="K63" s="14" t="inlineStr">
        <is>
          <t>#44</t>
        </is>
      </c>
    </row>
    <row r="64" outlineLevel="2">
      <c r="A64" s="15" t="n">
        <v>63</v>
      </c>
      <c r="B64" s="16" t="inlineStr">
        <is>
          <t>Epic 4</t>
        </is>
      </c>
      <c r="C64" s="16" t="inlineStr">
        <is>
          <t>Story 4-1</t>
        </is>
      </c>
      <c r="D64" s="15" t="n">
        <v>3</v>
      </c>
      <c r="E64" s="17" t="inlineStr">
        <is>
          <t>Task</t>
        </is>
      </c>
      <c r="F64" s="15" t="n">
        <v>45</v>
      </c>
      <c r="G64" s="18" t="inlineStr">
        <is>
          <t xml:space="preserve">        db.js 작성 - SQLite 연결 및 테이블 초기화</t>
        </is>
      </c>
      <c r="H64" s="19" t="inlineStr">
        <is>
          <t>Closed</t>
        </is>
      </c>
      <c r="I64" s="16" t="n"/>
      <c r="J64" s="15" t="n">
        <v>44</v>
      </c>
      <c r="K64" s="20" t="inlineStr">
        <is>
          <t>#45</t>
        </is>
      </c>
    </row>
    <row r="65" outlineLevel="2">
      <c r="A65" s="15" t="n">
        <v>64</v>
      </c>
      <c r="B65" s="16" t="inlineStr">
        <is>
          <t>Epic 4</t>
        </is>
      </c>
      <c r="C65" s="16" t="inlineStr">
        <is>
          <t>Story 4-1</t>
        </is>
      </c>
      <c r="D65" s="15" t="n">
        <v>3</v>
      </c>
      <c r="E65" s="17" t="inlineStr">
        <is>
          <t>Task</t>
        </is>
      </c>
      <c r="F65" s="15" t="n">
        <v>46</v>
      </c>
      <c r="G65" s="18" t="inlineStr">
        <is>
          <t xml:space="preserve">        sessions 테이블 스키마 정의</t>
        </is>
      </c>
      <c r="H65" s="19" t="inlineStr">
        <is>
          <t>Closed</t>
        </is>
      </c>
      <c r="I65" s="16" t="n"/>
      <c r="J65" s="15" t="n">
        <v>44</v>
      </c>
      <c r="K65" s="20" t="inlineStr">
        <is>
          <t>#46</t>
        </is>
      </c>
    </row>
    <row r="66" outlineLevel="2">
      <c r="A66" s="15" t="n">
        <v>65</v>
      </c>
      <c r="B66" s="16" t="inlineStr">
        <is>
          <t>Epic 4</t>
        </is>
      </c>
      <c r="C66" s="16" t="inlineStr">
        <is>
          <t>Story 4-1</t>
        </is>
      </c>
      <c r="D66" s="15" t="n">
        <v>3</v>
      </c>
      <c r="E66" s="17" t="inlineStr">
        <is>
          <t>Task</t>
        </is>
      </c>
      <c r="F66" s="15" t="n">
        <v>47</v>
      </c>
      <c r="G66" s="18" t="inlineStr">
        <is>
          <t xml:space="preserve">        POST /api/sessions 라우터 구현</t>
        </is>
      </c>
      <c r="H66" s="19" t="inlineStr">
        <is>
          <t>Closed</t>
        </is>
      </c>
      <c r="I66" s="16" t="n"/>
      <c r="J66" s="15" t="n">
        <v>44</v>
      </c>
      <c r="K66" s="20" t="inlineStr">
        <is>
          <t>#47</t>
        </is>
      </c>
    </row>
    <row r="67" outlineLevel="2">
      <c r="A67" s="15" t="n">
        <v>66</v>
      </c>
      <c r="B67" s="16" t="inlineStr">
        <is>
          <t>Epic 4</t>
        </is>
      </c>
      <c r="C67" s="16" t="inlineStr">
        <is>
          <t>Story 4-1</t>
        </is>
      </c>
      <c r="D67" s="15" t="n">
        <v>3</v>
      </c>
      <c r="E67" s="17" t="inlineStr">
        <is>
          <t>Task</t>
        </is>
      </c>
      <c r="F67" s="15" t="n">
        <v>48</v>
      </c>
      <c r="G67" s="18" t="inlineStr">
        <is>
          <t xml:space="preserve">        sessions 라우터 입력값 검증 로직 구현</t>
        </is>
      </c>
      <c r="H67" s="19" t="inlineStr">
        <is>
          <t>Closed</t>
        </is>
      </c>
      <c r="I67" s="16" t="n"/>
      <c r="J67" s="15" t="n">
        <v>44</v>
      </c>
      <c r="K67" s="20" t="inlineStr">
        <is>
          <t>#48</t>
        </is>
      </c>
    </row>
    <row r="68" outlineLevel="1">
      <c r="A68" s="15" t="n">
        <v>67</v>
      </c>
      <c r="B68" s="16" t="inlineStr">
        <is>
          <t>Epic 4</t>
        </is>
      </c>
      <c r="C68" s="16" t="inlineStr">
        <is>
          <t>Story 4-1</t>
        </is>
      </c>
      <c r="D68" s="15" t="n">
        <v>3</v>
      </c>
      <c r="E68" s="17" t="inlineStr">
        <is>
          <t>Task</t>
        </is>
      </c>
      <c r="F68" s="15" t="n">
        <v>73</v>
      </c>
      <c r="G68" s="18" t="inlineStr">
        <is>
          <t xml:space="preserve">        feat: POST /api/sessions - 익명화된 세션 분석 결과 수신하여 DB에 저장할 수 있다</t>
        </is>
      </c>
      <c r="H68" s="19" t="inlineStr">
        <is>
          <t>Closed</t>
        </is>
      </c>
      <c r="I68" s="16" t="inlineStr">
        <is>
          <t>#74</t>
        </is>
      </c>
      <c r="J68" s="15" t="n">
        <v>44</v>
      </c>
      <c r="K68" s="20" t="inlineStr">
        <is>
          <t>#73</t>
        </is>
      </c>
    </row>
    <row r="69" outlineLevel="1">
      <c r="A69" s="15" t="n">
        <v>68</v>
      </c>
      <c r="B69" s="16" t="inlineStr">
        <is>
          <t>Epic 4</t>
        </is>
      </c>
      <c r="C69" s="16" t="inlineStr">
        <is>
          <t>Story 4-1</t>
        </is>
      </c>
      <c r="D69" s="15" t="n">
        <v>3</v>
      </c>
      <c r="E69" s="17" t="inlineStr">
        <is>
          <t>Task</t>
        </is>
      </c>
      <c r="F69" s="15" t="n">
        <v>89</v>
      </c>
      <c r="G69" s="18" t="inlineStr">
        <is>
          <t xml:space="preserve">        feat: 세션 분석 완료 후 서버 전송</t>
        </is>
      </c>
      <c r="H69" s="19" t="inlineStr">
        <is>
          <t>Closed</t>
        </is>
      </c>
      <c r="I69" s="16" t="inlineStr">
        <is>
          <t>#92</t>
        </is>
      </c>
      <c r="J69" s="15" t="n">
        <v>44</v>
      </c>
      <c r="K69" s="20" t="inlineStr">
        <is>
          <t>#89</t>
        </is>
      </c>
    </row>
    <row r="70" outlineLevel="2">
      <c r="A70" s="9" t="n">
        <v>69</v>
      </c>
      <c r="B70" s="10" t="inlineStr">
        <is>
          <t>Epic 4</t>
        </is>
      </c>
      <c r="C70" s="10" t="inlineStr">
        <is>
          <t>Story 4-2</t>
        </is>
      </c>
      <c r="D70" s="9" t="n">
        <v>2</v>
      </c>
      <c r="E70" s="11" t="inlineStr">
        <is>
          <t>Story</t>
        </is>
      </c>
      <c r="F70" s="9" t="n">
        <v>49</v>
      </c>
      <c r="G70" s="12" t="inlineStr">
        <is>
          <t xml:space="preserve">    Story 4-2: 실험 온보딩 및 설문 알림 기능을 사용할 수 있다</t>
        </is>
      </c>
      <c r="H70" s="13" t="inlineStr">
        <is>
          <t>Closed</t>
        </is>
      </c>
      <c r="I70" s="10" t="n"/>
      <c r="J70" s="9" t="n">
        <v>43</v>
      </c>
      <c r="K70" s="14" t="inlineStr">
        <is>
          <t>#49</t>
        </is>
      </c>
    </row>
    <row r="71" outlineLevel="2">
      <c r="A71" s="9" t="n">
        <v>70</v>
      </c>
      <c r="B71" s="10" t="inlineStr">
        <is>
          <t>Epic 4</t>
        </is>
      </c>
      <c r="C71" s="10" t="inlineStr">
        <is>
          <t>Story 4-2</t>
        </is>
      </c>
      <c r="D71" s="9" t="n">
        <v>2</v>
      </c>
      <c r="E71" s="11" t="inlineStr">
        <is>
          <t>Story</t>
        </is>
      </c>
      <c r="F71" s="9" t="n">
        <v>271</v>
      </c>
      <c r="G71" s="12" t="inlineStr">
        <is>
          <t xml:space="preserve">    Story 4-2: 서버가 설문 응답을 수신하여 DB에 저장할 수 있다</t>
        </is>
      </c>
      <c r="H71" s="13" t="inlineStr">
        <is>
          <t>Closed</t>
        </is>
      </c>
      <c r="I71" s="10" t="n"/>
      <c r="J71" s="9" t="n">
        <v>43</v>
      </c>
      <c r="K71" s="14" t="inlineStr">
        <is>
          <t>#271</t>
        </is>
      </c>
    </row>
    <row r="72" outlineLevel="1">
      <c r="A72" s="15" t="n">
        <v>71</v>
      </c>
      <c r="B72" s="16" t="inlineStr">
        <is>
          <t>Epic 4</t>
        </is>
      </c>
      <c r="C72" s="16" t="inlineStr">
        <is>
          <t>Story 4-2</t>
        </is>
      </c>
      <c r="D72" s="15" t="n">
        <v>3</v>
      </c>
      <c r="E72" s="17" t="inlineStr">
        <is>
          <t>Task</t>
        </is>
      </c>
      <c r="F72" s="15" t="n">
        <v>50</v>
      </c>
      <c r="G72" s="18" t="inlineStr">
        <is>
          <t xml:space="preserve">        surveys 테이블 스키마 정의</t>
        </is>
      </c>
      <c r="H72" s="19" t="inlineStr">
        <is>
          <t>Closed</t>
        </is>
      </c>
      <c r="I72" s="16" t="n"/>
      <c r="J72" s="15" t="n">
        <v>271</v>
      </c>
      <c r="K72" s="20" t="inlineStr">
        <is>
          <t>#50</t>
        </is>
      </c>
    </row>
    <row r="73" outlineLevel="2">
      <c r="A73" s="15" t="n">
        <v>72</v>
      </c>
      <c r="B73" s="16" t="inlineStr">
        <is>
          <t>Epic 4</t>
        </is>
      </c>
      <c r="C73" s="16" t="inlineStr">
        <is>
          <t>Story 4-2</t>
        </is>
      </c>
      <c r="D73" s="15" t="n">
        <v>3</v>
      </c>
      <c r="E73" s="17" t="inlineStr">
        <is>
          <t>Task</t>
        </is>
      </c>
      <c r="F73" s="15" t="n">
        <v>51</v>
      </c>
      <c r="G73" s="18" t="inlineStr">
        <is>
          <t xml:space="preserve">        feat: POST /api/surveys 라우터 구현</t>
        </is>
      </c>
      <c r="H73" s="19" t="inlineStr">
        <is>
          <t>Closed</t>
        </is>
      </c>
      <c r="I73" s="16" t="n"/>
      <c r="J73" s="15" t="n">
        <v>271</v>
      </c>
      <c r="K73" s="20" t="inlineStr">
        <is>
          <t>#51</t>
        </is>
      </c>
    </row>
    <row r="74" outlineLevel="2">
      <c r="A74" s="9" t="n">
        <v>73</v>
      </c>
      <c r="B74" s="10" t="inlineStr">
        <is>
          <t>Epic 4</t>
        </is>
      </c>
      <c r="C74" s="10" t="inlineStr">
        <is>
          <t>Story 4-3</t>
        </is>
      </c>
      <c r="D74" s="9" t="n">
        <v>2</v>
      </c>
      <c r="E74" s="11" t="inlineStr">
        <is>
          <t>Story</t>
        </is>
      </c>
      <c r="F74" s="9" t="n">
        <v>78</v>
      </c>
      <c r="G74" s="12" t="inlineStr">
        <is>
          <t xml:space="preserve">    Story 4-3: 서버를 외부에 배포하여 확장 프로그램과 통신할 수 있다</t>
        </is>
      </c>
      <c r="H74" s="13" t="inlineStr">
        <is>
          <t>Closed</t>
        </is>
      </c>
      <c r="I74" s="10" t="n"/>
      <c r="J74" s="9" t="n">
        <v>43</v>
      </c>
      <c r="K74" s="14" t="inlineStr">
        <is>
          <t>#78</t>
        </is>
      </c>
    </row>
    <row r="75" outlineLevel="2">
      <c r="A75" s="15" t="n">
        <v>74</v>
      </c>
      <c r="B75" s="16" t="inlineStr">
        <is>
          <t>Epic 4</t>
        </is>
      </c>
      <c r="C75" s="16" t="inlineStr">
        <is>
          <t>Story 4-3</t>
        </is>
      </c>
      <c r="D75" s="15" t="n">
        <v>3</v>
      </c>
      <c r="E75" s="17" t="inlineStr">
        <is>
          <t>Task</t>
        </is>
      </c>
      <c r="F75" s="15" t="n">
        <v>52</v>
      </c>
      <c r="G75" s="18" t="inlineStr">
        <is>
          <t xml:space="preserve">        chore: 서버 외부 배포 및 /health 확인</t>
        </is>
      </c>
      <c r="H75" s="19" t="inlineStr">
        <is>
          <t>Closed</t>
        </is>
      </c>
      <c r="I75" s="16" t="n"/>
      <c r="J75" s="15" t="n">
        <v>78</v>
      </c>
      <c r="K75" s="20" t="inlineStr">
        <is>
          <t>#52</t>
        </is>
      </c>
    </row>
    <row r="76" outlineLevel="2">
      <c r="A76" s="15" t="n">
        <v>75</v>
      </c>
      <c r="B76" s="16" t="inlineStr">
        <is>
          <t>Epic 4</t>
        </is>
      </c>
      <c r="C76" s="16" t="inlineStr">
        <is>
          <t>Story 4-3</t>
        </is>
      </c>
      <c r="D76" s="15" t="n">
        <v>3</v>
      </c>
      <c r="E76" s="17" t="inlineStr">
        <is>
          <t>Task</t>
        </is>
      </c>
      <c r="F76" s="15" t="n">
        <v>53</v>
      </c>
      <c r="G76" s="18" t="inlineStr">
        <is>
          <t xml:space="preserve">        docs: .env.example 파일 작성</t>
        </is>
      </c>
      <c r="H76" s="19" t="inlineStr">
        <is>
          <t>Closed</t>
        </is>
      </c>
      <c r="I76" s="16" t="n"/>
      <c r="J76" s="15" t="n">
        <v>78</v>
      </c>
      <c r="K76" s="20" t="inlineStr">
        <is>
          <t>#53</t>
        </is>
      </c>
    </row>
    <row r="77">
      <c r="A77" s="15" t="n">
        <v>76</v>
      </c>
      <c r="B77" s="16" t="inlineStr">
        <is>
          <t>Epic 4</t>
        </is>
      </c>
      <c r="C77" s="16" t="inlineStr">
        <is>
          <t>Story 4-3</t>
        </is>
      </c>
      <c r="D77" s="15" t="n">
        <v>3</v>
      </c>
      <c r="E77" s="17" t="inlineStr">
        <is>
          <t>Task</t>
        </is>
      </c>
      <c r="F77" s="15" t="n">
        <v>54</v>
      </c>
      <c r="G77" s="18" t="inlineStr">
        <is>
          <t xml:space="preserve">        deploy: 서버 배포</t>
        </is>
      </c>
      <c r="H77" s="19" t="inlineStr">
        <is>
          <t>Closed</t>
        </is>
      </c>
      <c r="I77" s="16" t="n"/>
      <c r="J77" s="15" t="n">
        <v>78</v>
      </c>
      <c r="K77" s="20" t="inlineStr">
        <is>
          <t>#54</t>
        </is>
      </c>
    </row>
    <row r="78" outlineLevel="1">
      <c r="A78" s="15" t="n">
        <v>77</v>
      </c>
      <c r="B78" s="16" t="inlineStr">
        <is>
          <t>Epic 4</t>
        </is>
      </c>
      <c r="C78" s="16" t="inlineStr">
        <is>
          <t>Story 4-3</t>
        </is>
      </c>
      <c r="D78" s="15" t="n">
        <v>3</v>
      </c>
      <c r="E78" s="17" t="inlineStr">
        <is>
          <t>Task</t>
        </is>
      </c>
      <c r="F78" s="15" t="n">
        <v>79</v>
      </c>
      <c r="G78" s="18" t="inlineStr">
        <is>
          <t xml:space="preserve">        feat: 서버를 외부에 배포하여 확장 프로그램과 통신할 수 있다</t>
        </is>
      </c>
      <c r="H78" s="19" t="inlineStr">
        <is>
          <t>Closed</t>
        </is>
      </c>
      <c r="I78" s="16" t="inlineStr">
        <is>
          <t>#80</t>
        </is>
      </c>
      <c r="J78" s="15" t="n">
        <v>78</v>
      </c>
      <c r="K78" s="20" t="inlineStr">
        <is>
          <t>#79</t>
        </is>
      </c>
    </row>
    <row r="79" outlineLevel="1">
      <c r="A79" s="3" t="n">
        <v>78</v>
      </c>
      <c r="B79" s="4" t="inlineStr">
        <is>
          <t>Epic 5</t>
        </is>
      </c>
      <c r="C79" s="4" t="n"/>
      <c r="D79" s="3" t="n">
        <v>1</v>
      </c>
      <c r="E79" s="5" t="inlineStr">
        <is>
          <t>Epic</t>
        </is>
      </c>
      <c r="F79" s="3" t="n">
        <v>127</v>
      </c>
      <c r="G79" s="6" t="inlineStr">
        <is>
          <t>Epic 5: 데이터·개인정보 보강</t>
        </is>
      </c>
      <c r="H79" s="7" t="inlineStr">
        <is>
          <t>Closed</t>
        </is>
      </c>
      <c r="I79" s="4" t="n"/>
      <c r="J79" s="3" t="n"/>
      <c r="K79" s="8" t="inlineStr">
        <is>
          <t>#127</t>
        </is>
      </c>
    </row>
    <row r="80" outlineLevel="2">
      <c r="A80" s="9" t="n">
        <v>79</v>
      </c>
      <c r="B80" s="10" t="inlineStr">
        <is>
          <t>Epic 5</t>
        </is>
      </c>
      <c r="C80" s="10" t="inlineStr">
        <is>
          <t>Story 10-1</t>
        </is>
      </c>
      <c r="D80" s="9" t="n">
        <v>2</v>
      </c>
      <c r="E80" s="11" t="inlineStr">
        <is>
          <t>Story</t>
        </is>
      </c>
      <c r="F80" s="9" t="n">
        <v>128</v>
      </c>
      <c r="G80" s="12" t="inlineStr">
        <is>
          <t xml:space="preserve">    Story 10-1: 가명처리 기반 식별자 체계 및 IRB / 개인정보 처리방침 재설계</t>
        </is>
      </c>
      <c r="H80" s="13" t="inlineStr">
        <is>
          <t>Closed</t>
        </is>
      </c>
      <c r="I80" s="10" t="inlineStr">
        <is>
          <t>#129</t>
        </is>
      </c>
      <c r="J80" s="9" t="n">
        <v>127</v>
      </c>
      <c r="K80" s="14" t="inlineStr">
        <is>
          <t>#128</t>
        </is>
      </c>
    </row>
    <row r="81" outlineLevel="1">
      <c r="A81" s="9" t="n">
        <v>80</v>
      </c>
      <c r="B81" s="10" t="inlineStr">
        <is>
          <t>Epic 5</t>
        </is>
      </c>
      <c r="C81" s="10" t="inlineStr">
        <is>
          <t>Story 5-2</t>
        </is>
      </c>
      <c r="D81" s="9" t="n">
        <v>2</v>
      </c>
      <c r="E81" s="11" t="inlineStr">
        <is>
          <t>Story</t>
        </is>
      </c>
      <c r="F81" s="9" t="n">
        <v>130</v>
      </c>
      <c r="G81" s="12" t="inlineStr">
        <is>
          <t xml:space="preserve">    Story 5-2: 데이터 저장소(SQLite) 유지·이전 검토 및 스키마 확정</t>
        </is>
      </c>
      <c r="H81" s="13" t="inlineStr">
        <is>
          <t>Closed</t>
        </is>
      </c>
      <c r="I81" s="10" t="inlineStr">
        <is>
          <t>#131</t>
        </is>
      </c>
      <c r="J81" s="9" t="n">
        <v>127</v>
      </c>
      <c r="K81" s="14" t="inlineStr">
        <is>
          <t>#130</t>
        </is>
      </c>
    </row>
    <row r="82" outlineLevel="1">
      <c r="A82" s="15" t="n">
        <v>81</v>
      </c>
      <c r="B82" s="16" t="inlineStr">
        <is>
          <t>Epic 5</t>
        </is>
      </c>
      <c r="C82" s="16" t="inlineStr">
        <is>
          <t>Story 5-2</t>
        </is>
      </c>
      <c r="D82" s="15" t="n">
        <v>3</v>
      </c>
      <c r="E82" s="17" t="inlineStr">
        <is>
          <t>Task</t>
        </is>
      </c>
      <c r="F82" s="15" t="n">
        <v>116</v>
      </c>
      <c r="G82" s="21" t="inlineStr">
        <is>
          <t xml:space="preserve">        데이터 저장소(SQLite) 유지·이전 검토 및 스키마 확정</t>
        </is>
      </c>
      <c r="H82" s="19" t="inlineStr">
        <is>
          <t>Closed</t>
        </is>
      </c>
      <c r="I82" s="16" t="inlineStr">
        <is>
          <t>#121</t>
        </is>
      </c>
      <c r="J82" s="15" t="n">
        <v>130</v>
      </c>
      <c r="K82" s="20" t="inlineStr">
        <is>
          <t>#116</t>
        </is>
      </c>
    </row>
    <row r="83" outlineLevel="1">
      <c r="A83" s="9" t="n">
        <v>82</v>
      </c>
      <c r="B83" s="10" t="inlineStr">
        <is>
          <t>Epic 5</t>
        </is>
      </c>
      <c r="C83" s="10" t="inlineStr">
        <is>
          <t>Story 5-3</t>
        </is>
      </c>
      <c r="D83" s="9" t="n">
        <v>2</v>
      </c>
      <c r="E83" s="11" t="inlineStr">
        <is>
          <t>Story</t>
        </is>
      </c>
      <c r="F83" s="9" t="n">
        <v>117</v>
      </c>
      <c r="G83" s="12" t="inlineStr">
        <is>
          <t xml:space="preserve">    Story 5-3: 세션 처리 지연시간(Latency) 로깅</t>
        </is>
      </c>
      <c r="H83" s="13" t="inlineStr">
        <is>
          <t>Closed</t>
        </is>
      </c>
      <c r="I83" s="10" t="inlineStr">
        <is>
          <t>#125</t>
        </is>
      </c>
      <c r="J83" s="9" t="n">
        <v>127</v>
      </c>
      <c r="K83" s="14" t="inlineStr">
        <is>
          <t>#117</t>
        </is>
      </c>
    </row>
    <row r="84" outlineLevel="1">
      <c r="A84" s="9" t="n">
        <v>83</v>
      </c>
      <c r="B84" s="10" t="inlineStr">
        <is>
          <t>Epic 5</t>
        </is>
      </c>
      <c r="C84" s="10" t="inlineStr">
        <is>
          <t>Story 5-4</t>
        </is>
      </c>
      <c r="D84" s="9" t="n">
        <v>2</v>
      </c>
      <c r="E84" s="11" t="inlineStr">
        <is>
          <t>Story</t>
        </is>
      </c>
      <c r="F84" s="9" t="n">
        <v>118</v>
      </c>
      <c r="G84" s="12" t="inlineStr">
        <is>
          <t xml:space="preserve">    Story 5-4: LLM 실패·폴백 작동 로깅</t>
        </is>
      </c>
      <c r="H84" s="13" t="inlineStr">
        <is>
          <t>Closed</t>
        </is>
      </c>
      <c r="I84" s="10" t="inlineStr">
        <is>
          <t>#125</t>
        </is>
      </c>
      <c r="J84" s="9" t="n">
        <v>127</v>
      </c>
      <c r="K84" s="14" t="inlineStr">
        <is>
          <t>#118</t>
        </is>
      </c>
    </row>
    <row r="85" outlineLevel="1">
      <c r="A85" s="9" t="n">
        <v>84</v>
      </c>
      <c r="B85" s="10" t="inlineStr">
        <is>
          <t>Epic 5</t>
        </is>
      </c>
      <c r="C85" s="10" t="inlineStr">
        <is>
          <t>Story 5-5</t>
        </is>
      </c>
      <c r="D85" s="9" t="n">
        <v>2</v>
      </c>
      <c r="E85" s="11" t="inlineStr">
        <is>
          <t>Story</t>
        </is>
      </c>
      <c r="F85" s="9" t="n">
        <v>119</v>
      </c>
      <c r="G85" s="12" t="inlineStr">
        <is>
          <t xml:space="preserve">    Story 5-5: 팝업 상호작용(체류시간·탭 클릭) 마이크로 로그</t>
        </is>
      </c>
      <c r="H85" s="13" t="inlineStr">
        <is>
          <t>Closed</t>
        </is>
      </c>
      <c r="I85" s="10" t="inlineStr">
        <is>
          <t>#125</t>
        </is>
      </c>
      <c r="J85" s="9" t="n">
        <v>127</v>
      </c>
      <c r="K85" s="14" t="inlineStr">
        <is>
          <t>#119</t>
        </is>
      </c>
    </row>
    <row r="86" outlineLevel="1">
      <c r="A86" s="9" t="n">
        <v>85</v>
      </c>
      <c r="B86" s="10" t="inlineStr">
        <is>
          <t>Epic 5</t>
        </is>
      </c>
      <c r="C86" s="10" t="inlineStr">
        <is>
          <t>Story 5-6</t>
        </is>
      </c>
      <c r="D86" s="9" t="n">
        <v>2</v>
      </c>
      <c r="E86" s="11" t="inlineStr">
        <is>
          <t>Story</t>
        </is>
      </c>
      <c r="F86" s="9" t="n">
        <v>132</v>
      </c>
      <c r="G86" s="12" t="inlineStr">
        <is>
          <t xml:space="preserve">    Story 5-6: 세션 분석 완료 알림 및 피드백 열람 유도</t>
        </is>
      </c>
      <c r="H86" s="13" t="inlineStr">
        <is>
          <t>Closed</t>
        </is>
      </c>
      <c r="I86" s="10" t="inlineStr">
        <is>
          <t>#133</t>
        </is>
      </c>
      <c r="J86" s="9" t="n">
        <v>127</v>
      </c>
      <c r="K86" s="14" t="inlineStr">
        <is>
          <t>#132</t>
        </is>
      </c>
    </row>
    <row r="87" outlineLevel="2">
      <c r="A87" s="9" t="n">
        <v>86</v>
      </c>
      <c r="B87" s="10" t="inlineStr">
        <is>
          <t>Epic 5</t>
        </is>
      </c>
      <c r="C87" s="10" t="inlineStr">
        <is>
          <t>Story 5-7</t>
        </is>
      </c>
      <c r="D87" s="9" t="n">
        <v>2</v>
      </c>
      <c r="E87" s="11" t="inlineStr">
        <is>
          <t>Story</t>
        </is>
      </c>
      <c r="F87" s="9" t="n">
        <v>140</v>
      </c>
      <c r="G87" s="12" t="inlineStr">
        <is>
          <t xml:space="preserve">    Story 5-7: 세밀 다양성 신호(토픽·채널·발견 경로)</t>
        </is>
      </c>
      <c r="H87" s="13" t="inlineStr">
        <is>
          <t>Closed</t>
        </is>
      </c>
      <c r="I87" s="10" t="inlineStr">
        <is>
          <t>#141</t>
        </is>
      </c>
      <c r="J87" s="9" t="n">
        <v>127</v>
      </c>
      <c r="K87" s="14" t="inlineStr">
        <is>
          <t>#140</t>
        </is>
      </c>
    </row>
    <row r="88" outlineLevel="1">
      <c r="A88" s="9" t="n">
        <v>87</v>
      </c>
      <c r="B88" s="10" t="inlineStr">
        <is>
          <t>Epic 5</t>
        </is>
      </c>
      <c r="C88" s="10" t="inlineStr">
        <is>
          <t>Story 5-8</t>
        </is>
      </c>
      <c r="D88" s="9" t="n">
        <v>2</v>
      </c>
      <c r="E88" s="11" t="inlineStr">
        <is>
          <t>Story</t>
        </is>
      </c>
      <c r="F88" s="9" t="n">
        <v>136</v>
      </c>
      <c r="G88" s="12" t="inlineStr">
        <is>
          <t xml:space="preserve">    Story 5-8: 2주 베이스라인 이후 그룹(CON/EXP) 분기 전달</t>
        </is>
      </c>
      <c r="H88" s="13" t="inlineStr">
        <is>
          <t>Closed</t>
        </is>
      </c>
      <c r="I88" s="10" t="inlineStr">
        <is>
          <t>#137</t>
        </is>
      </c>
      <c r="J88" s="9" t="n">
        <v>127</v>
      </c>
      <c r="K88" s="14" t="inlineStr">
        <is>
          <t>#136</t>
        </is>
      </c>
    </row>
    <row r="89" outlineLevel="2">
      <c r="A89" s="9" t="n">
        <v>88</v>
      </c>
      <c r="B89" s="10" t="inlineStr">
        <is>
          <t>Epic 5</t>
        </is>
      </c>
      <c r="C89" s="10" t="inlineStr">
        <is>
          <t>Story 5-9</t>
        </is>
      </c>
      <c r="D89" s="9" t="n">
        <v>2</v>
      </c>
      <c r="E89" s="11" t="inlineStr">
        <is>
          <t>Story</t>
        </is>
      </c>
      <c r="F89" s="9" t="n">
        <v>291</v>
      </c>
      <c r="G89" s="12" t="inlineStr">
        <is>
          <t xml:space="preserve">    Story 5-9: 설문 척도 설계·검증 (다문항화·파일럿)</t>
        </is>
      </c>
      <c r="H89" s="23" t="inlineStr">
        <is>
          <t>Open</t>
        </is>
      </c>
      <c r="I89" s="10" t="n"/>
      <c r="J89" s="9" t="n">
        <v>127</v>
      </c>
      <c r="K89" s="14" t="inlineStr">
        <is>
          <t>#291</t>
        </is>
      </c>
    </row>
    <row r="90" outlineLevel="2">
      <c r="A90" s="9" t="n">
        <v>89</v>
      </c>
      <c r="B90" s="10" t="inlineStr">
        <is>
          <t>Epic 5</t>
        </is>
      </c>
      <c r="C90" s="10" t="inlineStr">
        <is>
          <t>Story 10-11</t>
        </is>
      </c>
      <c r="D90" s="9" t="n">
        <v>2</v>
      </c>
      <c r="E90" s="11" t="inlineStr">
        <is>
          <t>Story</t>
        </is>
      </c>
      <c r="F90" s="9" t="n">
        <v>138</v>
      </c>
      <c r="G90" s="12" t="inlineStr">
        <is>
          <t xml:space="preserve">    Story 10-11: llm.js 피드백 보강 (서버 저장·문구 톤 통일·프롬프트 버전·가드레일 필터)</t>
        </is>
      </c>
      <c r="H90" s="13" t="inlineStr">
        <is>
          <t>Closed</t>
        </is>
      </c>
      <c r="I90" s="10" t="inlineStr">
        <is>
          <t>#139</t>
        </is>
      </c>
      <c r="J90" s="9" t="n">
        <v>127</v>
      </c>
      <c r="K90" s="14" t="inlineStr">
        <is>
          <t>#138</t>
        </is>
      </c>
    </row>
    <row r="91" ht="25.5" customHeight="1">
      <c r="A91" s="9" t="n">
        <v>90</v>
      </c>
      <c r="B91" s="10" t="inlineStr">
        <is>
          <t>Epic 5</t>
        </is>
      </c>
      <c r="C91" s="10" t="inlineStr">
        <is>
          <t>Story 5-11</t>
        </is>
      </c>
      <c r="D91" s="9" t="n">
        <v>2</v>
      </c>
      <c r="E91" s="11" t="inlineStr">
        <is>
          <t>Story</t>
        </is>
      </c>
      <c r="F91" s="9" t="n">
        <v>273</v>
      </c>
      <c r="G91" s="12" t="inlineStr">
        <is>
          <t xml:space="preserve">    Story 5-11: 기간 리뷰를 다시 생성해도 참가자가 본 이전 버전이 보존된다</t>
        </is>
      </c>
      <c r="H91" s="13" t="inlineStr">
        <is>
          <t>Closed</t>
        </is>
      </c>
      <c r="I91" s="10" t="n"/>
      <c r="J91" s="9" t="n">
        <v>127</v>
      </c>
      <c r="K91" s="14" t="inlineStr">
        <is>
          <t>#273</t>
        </is>
      </c>
    </row>
    <row r="92" outlineLevel="1">
      <c r="A92" s="15" t="n">
        <v>91</v>
      </c>
      <c r="B92" s="16" t="inlineStr">
        <is>
          <t>Epic 5</t>
        </is>
      </c>
      <c r="C92" s="16" t="inlineStr">
        <is>
          <t>Story 5-11</t>
        </is>
      </c>
      <c r="D92" s="15" t="n">
        <v>3</v>
      </c>
      <c r="E92" s="17" t="inlineStr">
        <is>
          <t>Task</t>
        </is>
      </c>
      <c r="F92" s="15" t="n">
        <v>224</v>
      </c>
      <c r="G92" s="18" t="inlineStr">
        <is>
          <t xml:space="preserve">        feat: 기간 리뷰를 다시 생성해도 참여자가 본 이전 버전이 남도록 append-only 이력 테이블 추가</t>
        </is>
      </c>
      <c r="H92" s="19" t="inlineStr">
        <is>
          <t>Closed</t>
        </is>
      </c>
      <c r="I92" s="16" t="n"/>
      <c r="J92" s="15" t="n">
        <v>273</v>
      </c>
      <c r="K92" s="20" t="inlineStr">
        <is>
          <t>#224</t>
        </is>
      </c>
    </row>
    <row r="93" outlineLevel="2">
      <c r="A93" s="9" t="n">
        <v>92</v>
      </c>
      <c r="B93" s="10" t="inlineStr">
        <is>
          <t>Epic 5</t>
        </is>
      </c>
      <c r="C93" s="10" t="inlineStr">
        <is>
          <t>Story 5-12</t>
        </is>
      </c>
      <c r="D93" s="9" t="n">
        <v>2</v>
      </c>
      <c r="E93" s="11" t="inlineStr">
        <is>
          <t>Story</t>
        </is>
      </c>
      <c r="F93" s="9" t="n">
        <v>292</v>
      </c>
      <c r="G93" s="12" t="inlineStr">
        <is>
          <t xml:space="preserve">    Story 5-12: 시청 맥락(유입 경로·영상·채널 메타데이터)을 함께 수집한다</t>
        </is>
      </c>
      <c r="H93" s="23" t="inlineStr">
        <is>
          <t>Open</t>
        </is>
      </c>
      <c r="I93" s="10" t="n"/>
      <c r="J93" s="9" t="n">
        <v>127</v>
      </c>
      <c r="K93" s="14" t="inlineStr">
        <is>
          <t>#292</t>
        </is>
      </c>
    </row>
    <row r="94" outlineLevel="2">
      <c r="A94" s="15" t="n">
        <v>93</v>
      </c>
      <c r="B94" s="16" t="inlineStr">
        <is>
          <t>Epic 5</t>
        </is>
      </c>
      <c r="C94" s="16" t="inlineStr">
        <is>
          <t>Story 5-12</t>
        </is>
      </c>
      <c r="D94" s="15" t="n">
        <v>3</v>
      </c>
      <c r="E94" s="17" t="inlineStr">
        <is>
          <t>Task</t>
        </is>
      </c>
      <c r="F94" s="15" t="n">
        <v>178</v>
      </c>
      <c r="G94" s="18" t="inlineStr">
        <is>
          <t xml:space="preserve">        feat: 영상 시청 이벤트에 유입 경로 라벨링 및 자동재생/클릭 구분 로직 추가</t>
        </is>
      </c>
      <c r="H94" s="19" t="inlineStr">
        <is>
          <t>Closed</t>
        </is>
      </c>
      <c r="I94" s="16" t="n"/>
      <c r="J94" s="15" t="n">
        <v>292</v>
      </c>
      <c r="K94" s="20" t="inlineStr">
        <is>
          <t>#178</t>
        </is>
      </c>
    </row>
    <row r="95" outlineLevel="2">
      <c r="A95" s="15" t="n">
        <v>94</v>
      </c>
      <c r="B95" s="16" t="inlineStr">
        <is>
          <t>Epic 5</t>
        </is>
      </c>
      <c r="C95" s="16" t="inlineStr">
        <is>
          <t>Story 5-12</t>
        </is>
      </c>
      <c r="D95" s="15" t="n">
        <v>3</v>
      </c>
      <c r="E95" s="17" t="inlineStr">
        <is>
          <t>Task</t>
        </is>
      </c>
      <c r="F95" s="15" t="n">
        <v>180</v>
      </c>
      <c r="G95" s="18" t="inlineStr">
        <is>
          <t xml:space="preserve">        feat:YouTube 영상·채널 메타데이터 수집 확장</t>
        </is>
      </c>
      <c r="H95" s="19" t="inlineStr">
        <is>
          <t>Closed</t>
        </is>
      </c>
      <c r="I95" s="16" t="n"/>
      <c r="J95" s="15" t="n">
        <v>292</v>
      </c>
      <c r="K95" s="20" t="inlineStr">
        <is>
          <t>#180</t>
        </is>
      </c>
    </row>
    <row r="96" outlineLevel="2">
      <c r="A96" s="3" t="n">
        <v>95</v>
      </c>
      <c r="B96" s="4" t="inlineStr">
        <is>
          <t>Epic 6</t>
        </is>
      </c>
      <c r="C96" s="4" t="n"/>
      <c r="D96" s="3" t="n">
        <v>1</v>
      </c>
      <c r="E96" s="5" t="inlineStr">
        <is>
          <t>Epic</t>
        </is>
      </c>
      <c r="F96" s="3" t="n">
        <v>145</v>
      </c>
      <c r="G96" s="6" t="inlineStr">
        <is>
          <t>Epic 6. 본 연구 착수 전 기능 안정화</t>
        </is>
      </c>
      <c r="H96" s="7" t="inlineStr">
        <is>
          <t>Closed</t>
        </is>
      </c>
      <c r="I96" s="4" t="n"/>
      <c r="J96" s="3" t="n"/>
      <c r="K96" s="8" t="inlineStr">
        <is>
          <t>#145</t>
        </is>
      </c>
    </row>
    <row r="97" outlineLevel="1">
      <c r="A97" s="9" t="n">
        <v>96</v>
      </c>
      <c r="B97" s="10" t="inlineStr">
        <is>
          <t>Epic 6</t>
        </is>
      </c>
      <c r="C97" s="10" t="inlineStr">
        <is>
          <t>Story 6-1</t>
        </is>
      </c>
      <c r="D97" s="9" t="n">
        <v>2</v>
      </c>
      <c r="E97" s="11" t="inlineStr">
        <is>
          <t>Story</t>
        </is>
      </c>
      <c r="F97" s="9" t="n">
        <v>274</v>
      </c>
      <c r="G97" s="12" t="inlineStr">
        <is>
          <t xml:space="preserve">    Story 6-1: 대조군 참가자가 연구 종료 후 6주 누적 리뷰를 열람할 수 있다</t>
        </is>
      </c>
      <c r="H97" s="23" t="inlineStr">
        <is>
          <t>Open</t>
        </is>
      </c>
      <c r="I97" s="10" t="n"/>
      <c r="J97" s="9" t="n">
        <v>145</v>
      </c>
      <c r="K97" s="14" t="inlineStr">
        <is>
          <t>#274</t>
        </is>
      </c>
    </row>
    <row r="98" outlineLevel="2">
      <c r="A98" s="15" t="n">
        <v>97</v>
      </c>
      <c r="B98" s="16" t="inlineStr">
        <is>
          <t>Epic 6</t>
        </is>
      </c>
      <c r="C98" s="16" t="inlineStr">
        <is>
          <t>Story 6-1</t>
        </is>
      </c>
      <c r="D98" s="15" t="n">
        <v>3</v>
      </c>
      <c r="E98" s="17" t="inlineStr">
        <is>
          <t>Task</t>
        </is>
      </c>
      <c r="F98" s="15" t="n">
        <v>146</v>
      </c>
      <c r="G98" s="18" t="inlineStr">
        <is>
          <t xml:space="preserve">        feat: 대조군 period_reviews 사전 생성 활성화</t>
        </is>
      </c>
      <c r="H98" s="19" t="inlineStr">
        <is>
          <t>Closed</t>
        </is>
      </c>
      <c r="I98" s="16" t="n"/>
      <c r="J98" s="15" t="n">
        <v>274</v>
      </c>
      <c r="K98" s="20" t="inlineStr">
        <is>
          <t>#146</t>
        </is>
      </c>
    </row>
    <row r="99" outlineLevel="2">
      <c r="A99" s="15" t="n">
        <v>98</v>
      </c>
      <c r="B99" s="16" t="inlineStr">
        <is>
          <t>Epic 6</t>
        </is>
      </c>
      <c r="C99" s="16" t="inlineStr">
        <is>
          <t>Story 6-1</t>
        </is>
      </c>
      <c r="D99" s="15" t="n">
        <v>3</v>
      </c>
      <c r="E99" s="17" t="inlineStr">
        <is>
          <t>Task</t>
        </is>
      </c>
      <c r="F99" s="15" t="n">
        <v>147</v>
      </c>
      <c r="G99" s="18" t="inlineStr">
        <is>
          <t xml:space="preserve">        feat: 대조군 6주 리뷰 열람 접근 제어 + 열람 이벤트 로깅</t>
        </is>
      </c>
      <c r="H99" s="19" t="inlineStr">
        <is>
          <t>Closed</t>
        </is>
      </c>
      <c r="I99" s="16" t="n"/>
      <c r="J99" s="15" t="n">
        <v>274</v>
      </c>
      <c r="K99" s="20" t="inlineStr">
        <is>
          <t>#147</t>
        </is>
      </c>
    </row>
    <row r="100" outlineLevel="1">
      <c r="A100" s="15" t="n">
        <v>99</v>
      </c>
      <c r="B100" s="16" t="inlineStr">
        <is>
          <t>Epic 6</t>
        </is>
      </c>
      <c r="C100" s="16" t="inlineStr">
        <is>
          <t>Story 6-1</t>
        </is>
      </c>
      <c r="D100" s="15" t="n">
        <v>3</v>
      </c>
      <c r="E100" s="17" t="inlineStr">
        <is>
          <t>Task</t>
        </is>
      </c>
      <c r="F100" s="15" t="n">
        <v>148</v>
      </c>
      <c r="G100" s="18" t="inlineStr">
        <is>
          <t xml:space="preserve">        feat: 종료 안내 모달 + 6주 누적 리뷰 화면</t>
        </is>
      </c>
      <c r="H100" s="19" t="inlineStr">
        <is>
          <t>Closed</t>
        </is>
      </c>
      <c r="I100" s="16" t="n"/>
      <c r="J100" s="15" t="n">
        <v>274</v>
      </c>
      <c r="K100" s="20" t="inlineStr">
        <is>
          <t>#148</t>
        </is>
      </c>
    </row>
    <row r="101" outlineLevel="2">
      <c r="A101" s="15" t="n">
        <v>100</v>
      </c>
      <c r="B101" s="16" t="inlineStr">
        <is>
          <t>Epic 6</t>
        </is>
      </c>
      <c r="C101" s="16" t="inlineStr">
        <is>
          <t>Story 6-1</t>
        </is>
      </c>
      <c r="D101" s="15" t="n">
        <v>3</v>
      </c>
      <c r="E101" s="17" t="inlineStr">
        <is>
          <t>Task</t>
        </is>
      </c>
      <c r="F101" s="15" t="n">
        <v>159</v>
      </c>
      <c r="G101" s="18" t="inlineStr">
        <is>
          <t xml:space="preserve">        feat: 연구 완료 코드 기반 리뷰 열람 게이트</t>
        </is>
      </c>
      <c r="H101" s="19" t="inlineStr">
        <is>
          <t>Closed</t>
        </is>
      </c>
      <c r="I101" s="16" t="n"/>
      <c r="J101" s="15" t="n">
        <v>274</v>
      </c>
      <c r="K101" s="20" t="inlineStr">
        <is>
          <t>#159</t>
        </is>
      </c>
    </row>
    <row r="102" outlineLevel="2">
      <c r="A102" s="9" t="n">
        <v>101</v>
      </c>
      <c r="B102" s="10" t="inlineStr">
        <is>
          <t>Epic 6</t>
        </is>
      </c>
      <c r="C102" s="10" t="inlineStr">
        <is>
          <t>Story 6-2</t>
        </is>
      </c>
      <c r="D102" s="9" t="n">
        <v>2</v>
      </c>
      <c r="E102" s="11" t="inlineStr">
        <is>
          <t>Story</t>
        </is>
      </c>
      <c r="F102" s="9" t="n">
        <v>275</v>
      </c>
      <c r="G102" s="12" t="inlineStr">
        <is>
          <t xml:space="preserve">    Story 6-2: 참가자가 재설치해도 참여코드로 상태를 복구할 수 있다</t>
        </is>
      </c>
      <c r="H102" s="23" t="inlineStr">
        <is>
          <t>Open</t>
        </is>
      </c>
      <c r="I102" s="10" t="n"/>
      <c r="J102" s="9" t="n">
        <v>145</v>
      </c>
      <c r="K102" s="14" t="inlineStr">
        <is>
          <t>#275</t>
        </is>
      </c>
    </row>
    <row r="103" outlineLevel="2">
      <c r="A103" s="15" t="n">
        <v>102</v>
      </c>
      <c r="B103" s="16" t="inlineStr">
        <is>
          <t>Epic 6</t>
        </is>
      </c>
      <c r="C103" s="16" t="inlineStr">
        <is>
          <t>Story 6-2</t>
        </is>
      </c>
      <c r="D103" s="15" t="n">
        <v>3</v>
      </c>
      <c r="E103" s="17" t="inlineStr">
        <is>
          <t>Task</t>
        </is>
      </c>
      <c r="F103" s="15" t="n">
        <v>149</v>
      </c>
      <c r="G103" s="18" t="inlineStr">
        <is>
          <t xml:space="preserve">        feat: 참여코드 기반 재설치 복구</t>
        </is>
      </c>
      <c r="H103" s="19" t="inlineStr">
        <is>
          <t>Closed</t>
        </is>
      </c>
      <c r="I103" s="16" t="n"/>
      <c r="J103" s="15" t="n">
        <v>275</v>
      </c>
      <c r="K103" s="20" t="inlineStr">
        <is>
          <t>#149</t>
        </is>
      </c>
    </row>
    <row r="104" outlineLevel="2">
      <c r="A104" s="15" t="n">
        <v>103</v>
      </c>
      <c r="B104" s="16" t="inlineStr">
        <is>
          <t>Epic 6</t>
        </is>
      </c>
      <c r="C104" s="16" t="inlineStr">
        <is>
          <t>Story 6-2</t>
        </is>
      </c>
      <c r="D104" s="15" t="n">
        <v>3</v>
      </c>
      <c r="E104" s="22" t="inlineStr">
        <is>
          <t>Bug</t>
        </is>
      </c>
      <c r="F104" s="15" t="n">
        <v>223</v>
      </c>
      <c r="G104" s="18" t="inlineStr">
        <is>
          <t xml:space="preserve">        fix: 참여자 등록 시 시간대가 없는 installDate를 거부하고 저장 형식을 UTC ISO로 통일</t>
        </is>
      </c>
      <c r="H104" s="24" t="inlineStr">
        <is>
          <t>Open</t>
        </is>
      </c>
      <c r="I104" s="16" t="n"/>
      <c r="J104" s="15" t="n">
        <v>275</v>
      </c>
      <c r="K104" s="20" t="inlineStr">
        <is>
          <t>#223</t>
        </is>
      </c>
    </row>
    <row r="105" outlineLevel="1">
      <c r="A105" s="9" t="n">
        <v>104</v>
      </c>
      <c r="B105" s="10" t="inlineStr">
        <is>
          <t>Epic 6</t>
        </is>
      </c>
      <c r="C105" s="10" t="inlineStr">
        <is>
          <t>Story 6-3</t>
        </is>
      </c>
      <c r="D105" s="9" t="n">
        <v>2</v>
      </c>
      <c r="E105" s="11" t="inlineStr">
        <is>
          <t>Story</t>
        </is>
      </c>
      <c r="F105" s="9" t="n">
        <v>276</v>
      </c>
      <c r="G105" s="12" t="inlineStr">
        <is>
          <t xml:space="preserve">    Story 6-3: 참가자가 자정 기준 하루 누적 리뷰를 확인할 수 있다</t>
        </is>
      </c>
      <c r="H105" s="23" t="inlineStr">
        <is>
          <t>Open</t>
        </is>
      </c>
      <c r="I105" s="10" t="n"/>
      <c r="J105" s="9" t="n">
        <v>145</v>
      </c>
      <c r="K105" s="14" t="inlineStr">
        <is>
          <t>#276</t>
        </is>
      </c>
    </row>
    <row r="106" outlineLevel="2">
      <c r="A106" s="15" t="n">
        <v>105</v>
      </c>
      <c r="B106" s="16" t="inlineStr">
        <is>
          <t>Epic 6</t>
        </is>
      </c>
      <c r="C106" s="16" t="inlineStr">
        <is>
          <t>Story 6-3</t>
        </is>
      </c>
      <c r="D106" s="15" t="n">
        <v>3</v>
      </c>
      <c r="E106" s="17" t="inlineStr">
        <is>
          <t>Task</t>
        </is>
      </c>
      <c r="F106" s="15" t="n">
        <v>152</v>
      </c>
      <c r="G106" s="18" t="inlineStr">
        <is>
          <t xml:space="preserve">        feat: 세션-종료 트리거를 오늘 누적 계산으로 통합</t>
        </is>
      </c>
      <c r="H106" s="19" t="inlineStr">
        <is>
          <t>Closed</t>
        </is>
      </c>
      <c r="I106" s="16" t="n"/>
      <c r="J106" s="15" t="n">
        <v>276</v>
      </c>
      <c r="K106" s="20" t="inlineStr">
        <is>
          <t>#152</t>
        </is>
      </c>
    </row>
    <row r="107" outlineLevel="2">
      <c r="A107" s="15" t="n">
        <v>106</v>
      </c>
      <c r="B107" s="16" t="inlineStr">
        <is>
          <t>Epic 6</t>
        </is>
      </c>
      <c r="C107" s="16" t="inlineStr">
        <is>
          <t>Story 6-3</t>
        </is>
      </c>
      <c r="D107" s="15" t="n">
        <v>3</v>
      </c>
      <c r="E107" s="17" t="inlineStr">
        <is>
          <t>Task</t>
        </is>
      </c>
      <c r="F107" s="15" t="n">
        <v>153</v>
      </c>
      <c r="G107" s="18" t="inlineStr">
        <is>
          <t xml:space="preserve">        feat: 자정 경계 처리 + "어제 돌아보기" 리빌 애니메이션</t>
        </is>
      </c>
      <c r="H107" s="19" t="inlineStr">
        <is>
          <t>Closed</t>
        </is>
      </c>
      <c r="I107" s="16" t="n"/>
      <c r="J107" s="15" t="n">
        <v>276</v>
      </c>
      <c r="K107" s="20" t="inlineStr">
        <is>
          <t>#153</t>
        </is>
      </c>
    </row>
    <row r="108" outlineLevel="1">
      <c r="A108" s="15" t="n">
        <v>107</v>
      </c>
      <c r="B108" s="16" t="inlineStr">
        <is>
          <t>Epic 6</t>
        </is>
      </c>
      <c r="C108" s="16" t="inlineStr">
        <is>
          <t>Story 6-3</t>
        </is>
      </c>
      <c r="D108" s="15" t="n">
        <v>3</v>
      </c>
      <c r="E108" s="17" t="inlineStr">
        <is>
          <t>Task</t>
        </is>
      </c>
      <c r="F108" s="15" t="n">
        <v>154</v>
      </c>
      <c r="G108" s="18" t="inlineStr">
        <is>
          <t xml:space="preserve">        feat: 리뷰 카드 헤드라인 문구 스코프별 분기</t>
        </is>
      </c>
      <c r="H108" s="19" t="inlineStr">
        <is>
          <t>Closed</t>
        </is>
      </c>
      <c r="I108" s="16" t="n"/>
      <c r="J108" s="15" t="n">
        <v>276</v>
      </c>
      <c r="K108" s="20" t="inlineStr">
        <is>
          <t>#154</t>
        </is>
      </c>
    </row>
    <row r="109">
      <c r="A109" s="15" t="n">
        <v>108</v>
      </c>
      <c r="B109" s="16" t="inlineStr">
        <is>
          <t>Epic 6</t>
        </is>
      </c>
      <c r="C109" s="16" t="inlineStr">
        <is>
          <t>Story 6-3</t>
        </is>
      </c>
      <c r="D109" s="15" t="n">
        <v>3</v>
      </c>
      <c r="E109" s="22" t="inlineStr">
        <is>
          <t>Bug</t>
        </is>
      </c>
      <c r="F109" s="15" t="n">
        <v>261</v>
      </c>
      <c r="G109" s="18" t="inlineStr">
        <is>
          <t xml:space="preserve">        bug: 피드백 생성 완료 직후 날짜 이동 시 "오늘" 탭이 갱신되지 않음</t>
        </is>
      </c>
      <c r="H109" s="24" t="inlineStr">
        <is>
          <t>Open</t>
        </is>
      </c>
      <c r="I109" s="16" t="n"/>
      <c r="J109" s="15" t="n">
        <v>276</v>
      </c>
      <c r="K109" s="20" t="inlineStr">
        <is>
          <t>#261</t>
        </is>
      </c>
    </row>
    <row r="110" outlineLevel="1">
      <c r="A110" s="9" t="n">
        <v>109</v>
      </c>
      <c r="B110" s="10" t="inlineStr">
        <is>
          <t>Epic 6</t>
        </is>
      </c>
      <c r="C110" s="10" t="inlineStr">
        <is>
          <t>Story 6-4</t>
        </is>
      </c>
      <c r="D110" s="9" t="n">
        <v>2</v>
      </c>
      <c r="E110" s="11" t="inlineStr">
        <is>
          <t>Story</t>
        </is>
      </c>
      <c r="F110" s="9" t="n">
        <v>277</v>
      </c>
      <c r="G110" s="12" t="inlineStr">
        <is>
          <t xml:space="preserve">    Story 6-4: 네트워크·인증 오류가 나도 데이터 전송과 참여자 등록이 자동 복구된다</t>
        </is>
      </c>
      <c r="H110" s="23" t="inlineStr">
        <is>
          <t>Open</t>
        </is>
      </c>
      <c r="I110" s="10" t="n"/>
      <c r="J110" s="9" t="n">
        <v>145</v>
      </c>
      <c r="K110" s="14" t="inlineStr">
        <is>
          <t>#277</t>
        </is>
      </c>
    </row>
    <row r="111" outlineLevel="2">
      <c r="A111" s="15" t="n">
        <v>110</v>
      </c>
      <c r="B111" s="16" t="inlineStr">
        <is>
          <t>Epic 6</t>
        </is>
      </c>
      <c r="C111" s="16" t="inlineStr">
        <is>
          <t>Story 6-4</t>
        </is>
      </c>
      <c r="D111" s="15" t="n">
        <v>3</v>
      </c>
      <c r="E111" s="17" t="inlineStr">
        <is>
          <t>Task</t>
        </is>
      </c>
      <c r="F111" s="15" t="n">
        <v>193</v>
      </c>
      <c r="G111" s="18" t="inlineStr">
        <is>
          <t xml:space="preserve">        feat: 전송 큐 재시도에 큐 레벨 fail-fast·재진입 가드·타임아웃 도입</t>
        </is>
      </c>
      <c r="H111" s="19" t="inlineStr">
        <is>
          <t>Closed</t>
        </is>
      </c>
      <c r="I111" s="16" t="n"/>
      <c r="J111" s="15" t="n">
        <v>277</v>
      </c>
      <c r="K111" s="20" t="inlineStr">
        <is>
          <t>#193</t>
        </is>
      </c>
    </row>
    <row r="112" outlineLevel="2">
      <c r="A112" s="15" t="n">
        <v>111</v>
      </c>
      <c r="B112" s="16" t="inlineStr">
        <is>
          <t>Epic 6</t>
        </is>
      </c>
      <c r="C112" s="16" t="inlineStr">
        <is>
          <t>Story 6-4</t>
        </is>
      </c>
      <c r="D112" s="15" t="n">
        <v>3</v>
      </c>
      <c r="E112" s="17" t="inlineStr">
        <is>
          <t>Task</t>
        </is>
      </c>
      <c r="F112" s="15" t="n">
        <v>196</v>
      </c>
      <c r="G112" s="18" t="inlineStr">
        <is>
          <t xml:space="preserve">        feat: 참여자 등록 게이트를 백그라운드에서 자동 복구하고 403 무효화 경로 추가</t>
        </is>
      </c>
      <c r="H112" s="19" t="inlineStr">
        <is>
          <t>Closed</t>
        </is>
      </c>
      <c r="I112" s="16" t="n"/>
      <c r="J112" s="15" t="n">
        <v>277</v>
      </c>
      <c r="K112" s="20" t="inlineStr">
        <is>
          <t>#196</t>
        </is>
      </c>
    </row>
    <row r="113" outlineLevel="2">
      <c r="A113" s="9" t="n">
        <v>112</v>
      </c>
      <c r="B113" s="10" t="inlineStr">
        <is>
          <t>Epic 6</t>
        </is>
      </c>
      <c r="C113" s="10" t="inlineStr">
        <is>
          <t>Story 6-5</t>
        </is>
      </c>
      <c r="D113" s="9" t="n">
        <v>2</v>
      </c>
      <c r="E113" s="11" t="inlineStr">
        <is>
          <t>Story</t>
        </is>
      </c>
      <c r="F113" s="9" t="n">
        <v>278</v>
      </c>
      <c r="G113" s="12" t="inlineStr">
        <is>
          <t xml:space="preserve">    Story 6-5: 참가자가 오류 발생 시 팝업에서 안내를 볼 수 있다</t>
        </is>
      </c>
      <c r="H113" s="23" t="inlineStr">
        <is>
          <t>Open</t>
        </is>
      </c>
      <c r="I113" s="10" t="n"/>
      <c r="J113" s="9" t="n">
        <v>145</v>
      </c>
      <c r="K113" s="14" t="inlineStr">
        <is>
          <t>#278</t>
        </is>
      </c>
    </row>
    <row r="114" outlineLevel="2" ht="26.25" customHeight="1">
      <c r="A114" s="3" t="n">
        <v>113</v>
      </c>
      <c r="B114" s="4" t="inlineStr">
        <is>
          <t>Epic 7</t>
        </is>
      </c>
      <c r="C114" s="4" t="n"/>
      <c r="D114" s="3" t="n">
        <v>1</v>
      </c>
      <c r="E114" s="5" t="inlineStr">
        <is>
          <t>Epic</t>
        </is>
      </c>
      <c r="F114" s="3" t="n">
        <v>202</v>
      </c>
      <c r="G114" s="6" t="inlineStr">
        <is>
          <t>Epic 7. 관측 체계 구축 및 운영</t>
        </is>
      </c>
      <c r="H114" s="7" t="inlineStr">
        <is>
          <t>Closed</t>
        </is>
      </c>
      <c r="I114" s="4" t="n"/>
      <c r="J114" s="3" t="n"/>
      <c r="K114" s="8" t="inlineStr">
        <is>
          <t>#202</t>
        </is>
      </c>
    </row>
    <row r="115" outlineLevel="1">
      <c r="A115" s="9" t="n">
        <v>114</v>
      </c>
      <c r="B115" s="10" t="inlineStr">
        <is>
          <t>Epic 7</t>
        </is>
      </c>
      <c r="C115" s="10" t="inlineStr">
        <is>
          <t>Story 7-1</t>
        </is>
      </c>
      <c r="D115" s="9" t="n">
        <v>2</v>
      </c>
      <c r="E115" s="11" t="inlineStr">
        <is>
          <t>Story</t>
        </is>
      </c>
      <c r="F115" s="9" t="n">
        <v>172</v>
      </c>
      <c r="G115" s="12" t="inlineStr">
        <is>
          <t xml:space="preserve">    Story 7-1: 운영자가 서버·cron·결측 이상을 즉시 알림으로 받을 수 있다(최소 관제 체계(MVM) 구축)</t>
        </is>
      </c>
      <c r="H115" s="13" t="inlineStr">
        <is>
          <t>Closed</t>
        </is>
      </c>
      <c r="I115" s="10" t="n"/>
      <c r="J115" s="9" t="n">
        <v>202</v>
      </c>
      <c r="K115" s="14" t="inlineStr">
        <is>
          <t>#172</t>
        </is>
      </c>
    </row>
    <row r="116" outlineLevel="2">
      <c r="A116" s="15" t="n">
        <v>115</v>
      </c>
      <c r="B116" s="16" t="inlineStr">
        <is>
          <t>Epic 7</t>
        </is>
      </c>
      <c r="C116" s="16" t="inlineStr">
        <is>
          <t>Story 7-1</t>
        </is>
      </c>
      <c r="D116" s="15" t="n">
        <v>3</v>
      </c>
      <c r="E116" s="17" t="inlineStr">
        <is>
          <t>Task</t>
        </is>
      </c>
      <c r="F116" s="15" t="n">
        <v>192</v>
      </c>
      <c r="G116" s="18" t="inlineStr">
        <is>
          <t xml:space="preserve">        feat: 접근 로그에 실제 API 경로 기록 및 error-monitor 알림을 /api/* 4xx로 한정</t>
        </is>
      </c>
      <c r="H116" s="19" t="inlineStr">
        <is>
          <t>Closed</t>
        </is>
      </c>
      <c r="I116" s="16" t="n"/>
      <c r="J116" s="15" t="n">
        <v>172</v>
      </c>
      <c r="K116" s="20" t="inlineStr">
        <is>
          <t>#192</t>
        </is>
      </c>
    </row>
    <row r="117" outlineLevel="2">
      <c r="A117" s="15" t="n">
        <v>116</v>
      </c>
      <c r="B117" s="16" t="inlineStr">
        <is>
          <t>Epic 7</t>
        </is>
      </c>
      <c r="C117" s="16" t="inlineStr">
        <is>
          <t>Story 7-1</t>
        </is>
      </c>
      <c r="D117" s="15" t="n">
        <v>3</v>
      </c>
      <c r="E117" s="17" t="inlineStr">
        <is>
          <t>Task</t>
        </is>
      </c>
      <c r="F117" s="15" t="n">
        <v>204</v>
      </c>
      <c r="G117" s="18" t="inlineStr">
        <is>
          <t xml:space="preserve">        feat: Datadog Monitor로 세션 API 지연·Agent 무응답 알림 추가</t>
        </is>
      </c>
      <c r="H117" s="19" t="inlineStr">
        <is>
          <t>Closed</t>
        </is>
      </c>
      <c r="I117" s="16" t="n"/>
      <c r="J117" s="15" t="n">
        <v>172</v>
      </c>
      <c r="K117" s="20" t="inlineStr">
        <is>
          <t>#204</t>
        </is>
      </c>
    </row>
    <row r="118" outlineLevel="2">
      <c r="A118" s="15" t="n">
        <v>117</v>
      </c>
      <c r="B118" s="16" t="inlineStr">
        <is>
          <t>Epic 7</t>
        </is>
      </c>
      <c r="C118" s="16" t="inlineStr">
        <is>
          <t>Story 7-1</t>
        </is>
      </c>
      <c r="D118" s="15" t="n">
        <v>3</v>
      </c>
      <c r="E118" s="17" t="inlineStr">
        <is>
          <t>Task</t>
        </is>
      </c>
      <c r="F118" s="15" t="n">
        <v>205</v>
      </c>
      <c r="G118" s="18" t="inlineStr">
        <is>
          <t xml:space="preserve">        feat: LLM fallback 비율·Gemini 응답 시간을 Datadog 커스텀 메트릭으로 추세 감시</t>
        </is>
      </c>
      <c r="H118" s="19" t="inlineStr">
        <is>
          <t>Closed</t>
        </is>
      </c>
      <c r="I118" s="16" t="n"/>
      <c r="J118" s="15" t="n">
        <v>172</v>
      </c>
      <c r="K118" s="20" t="inlineStr">
        <is>
          <t>#205</t>
        </is>
      </c>
    </row>
    <row r="119" outlineLevel="2">
      <c r="A119" s="15" t="n">
        <v>118</v>
      </c>
      <c r="B119" s="16" t="inlineStr">
        <is>
          <t>Epic 7</t>
        </is>
      </c>
      <c r="C119" s="16" t="inlineStr">
        <is>
          <t>Story 7-1</t>
        </is>
      </c>
      <c r="D119" s="15" t="n">
        <v>3</v>
      </c>
      <c r="E119" s="17" t="inlineStr">
        <is>
          <t>Task</t>
        </is>
      </c>
      <c r="F119" s="15" t="n">
        <v>206</v>
      </c>
      <c r="G119" s="18" t="inlineStr">
        <is>
          <t xml:space="preserve">        feat: 참가자별 결측 감지 cron 가동과 결측 의심 시 인원수 알림</t>
        </is>
      </c>
      <c r="H119" s="19" t="inlineStr">
        <is>
          <t>Closed</t>
        </is>
      </c>
      <c r="I119" s="16" t="n"/>
      <c r="J119" s="15" t="n">
        <v>172</v>
      </c>
      <c r="K119" s="20" t="inlineStr">
        <is>
          <t>#206</t>
        </is>
      </c>
    </row>
    <row r="120" outlineLevel="2">
      <c r="A120" s="9" t="n">
        <v>119</v>
      </c>
      <c r="B120" s="10" t="inlineStr">
        <is>
          <t>Epic 7</t>
        </is>
      </c>
      <c r="C120" s="10" t="inlineStr">
        <is>
          <t>Story 7-2</t>
        </is>
      </c>
      <c r="D120" s="9" t="n">
        <v>2</v>
      </c>
      <c r="E120" s="11" t="inlineStr">
        <is>
          <t>Story</t>
        </is>
      </c>
      <c r="F120" s="9" t="n">
        <v>279</v>
      </c>
      <c r="G120" s="12" t="inlineStr">
        <is>
          <t xml:space="preserve">    Story 7-2: 운영자가 오류 원인을 로그·트레이스로 추적할 수 있다</t>
        </is>
      </c>
      <c r="H120" s="23" t="inlineStr">
        <is>
          <t>Open</t>
        </is>
      </c>
      <c r="I120" s="10" t="n"/>
      <c r="J120" s="9" t="n">
        <v>202</v>
      </c>
      <c r="K120" s="14" t="inlineStr">
        <is>
          <t>#279</t>
        </is>
      </c>
    </row>
    <row r="121" outlineLevel="2" ht="25.5" customHeight="1">
      <c r="A121" s="15" t="n">
        <v>120</v>
      </c>
      <c r="B121" s="16" t="inlineStr">
        <is>
          <t>Epic 7</t>
        </is>
      </c>
      <c r="C121" s="16" t="inlineStr">
        <is>
          <t>Story 7-2</t>
        </is>
      </c>
      <c r="D121" s="15" t="n">
        <v>3</v>
      </c>
      <c r="E121" s="17" t="inlineStr">
        <is>
          <t>Task</t>
        </is>
      </c>
      <c r="F121" s="15" t="n">
        <v>203</v>
      </c>
      <c r="G121" s="18" t="inlineStr">
        <is>
          <t xml:space="preserve">        feat: 확장 프로그램 오류를 연구 서버로 원격 수집</t>
        </is>
      </c>
      <c r="H121" s="19" t="inlineStr">
        <is>
          <t>Closed</t>
        </is>
      </c>
      <c r="I121" s="16" t="n"/>
      <c r="J121" s="15" t="n">
        <v>279</v>
      </c>
      <c r="K121" s="20" t="inlineStr">
        <is>
          <t>#203</t>
        </is>
      </c>
    </row>
    <row r="122" outlineLevel="2">
      <c r="A122" s="15" t="n">
        <v>121</v>
      </c>
      <c r="B122" s="16" t="inlineStr">
        <is>
          <t>Epic 7</t>
        </is>
      </c>
      <c r="C122" s="16" t="inlineStr">
        <is>
          <t>Story 7-2</t>
        </is>
      </c>
      <c r="D122" s="15" t="n">
        <v>3</v>
      </c>
      <c r="E122" s="17" t="inlineStr">
        <is>
          <t>Task</t>
        </is>
      </c>
      <c r="F122" s="15" t="n">
        <v>225</v>
      </c>
      <c r="G122" s="18" t="inlineStr">
        <is>
          <t xml:space="preserve">        feat: Datadog에서 가명 사용자 ID(anonymousId)로 로그·요청을 조회할 수 있게 UUID 마스킹 해제</t>
        </is>
      </c>
      <c r="H122" s="19" t="inlineStr">
        <is>
          <t>Closed</t>
        </is>
      </c>
      <c r="I122" s="16" t="n"/>
      <c r="J122" s="15" t="n">
        <v>279</v>
      </c>
      <c r="K122" s="20" t="inlineStr">
        <is>
          <t>#225</t>
        </is>
      </c>
    </row>
    <row r="123" outlineLevel="1">
      <c r="A123" s="15" t="n">
        <v>122</v>
      </c>
      <c r="B123" s="16" t="inlineStr">
        <is>
          <t>Epic 7</t>
        </is>
      </c>
      <c r="C123" s="16" t="inlineStr">
        <is>
          <t>Story 7-2</t>
        </is>
      </c>
      <c r="D123" s="15" t="n">
        <v>3</v>
      </c>
      <c r="E123" s="17" t="inlineStr">
        <is>
          <t>Task</t>
        </is>
      </c>
      <c r="F123" s="15" t="n">
        <v>226</v>
      </c>
      <c r="G123" s="18" t="inlineStr">
        <is>
          <t xml:space="preserve">        feat: 서버 예외의 스택 트레이스를 확인할 수 있게 하기</t>
        </is>
      </c>
      <c r="H123" s="19" t="inlineStr">
        <is>
          <t>Closed</t>
        </is>
      </c>
      <c r="I123" s="16" t="n"/>
      <c r="J123" s="15" t="n">
        <v>279</v>
      </c>
      <c r="K123" s="20" t="inlineStr">
        <is>
          <t>#226</t>
        </is>
      </c>
    </row>
    <row r="124">
      <c r="A124" s="15" t="n">
        <v>123</v>
      </c>
      <c r="B124" s="16" t="inlineStr">
        <is>
          <t>Epic 7</t>
        </is>
      </c>
      <c r="C124" s="16" t="inlineStr">
        <is>
          <t>Story 7-2</t>
        </is>
      </c>
      <c r="D124" s="15" t="n">
        <v>3</v>
      </c>
      <c r="E124" s="17" t="inlineStr">
        <is>
          <t>Task</t>
        </is>
      </c>
      <c r="F124" s="15" t="n">
        <v>227</v>
      </c>
      <c r="G124" s="18" t="inlineStr">
        <is>
          <t xml:space="preserve">        feat: 서버 로그 줄에 trace ID를 넣어 Datadog Logs와 APM trace를 연결</t>
        </is>
      </c>
      <c r="H124" s="19" t="inlineStr">
        <is>
          <t>Closed</t>
        </is>
      </c>
      <c r="I124" s="16" t="n"/>
      <c r="J124" s="15" t="n">
        <v>279</v>
      </c>
      <c r="K124" s="20" t="inlineStr">
        <is>
          <t>#227</t>
        </is>
      </c>
    </row>
    <row r="125" outlineLevel="1">
      <c r="A125" s="15" t="n">
        <v>124</v>
      </c>
      <c r="B125" s="16" t="inlineStr">
        <is>
          <t>Epic 7</t>
        </is>
      </c>
      <c r="C125" s="16" t="inlineStr">
        <is>
          <t>Story 7-2</t>
        </is>
      </c>
      <c r="D125" s="15" t="n">
        <v>3</v>
      </c>
      <c r="E125" s="17" t="inlineStr">
        <is>
          <t>Task</t>
        </is>
      </c>
      <c r="F125" s="15" t="n">
        <v>228</v>
      </c>
      <c r="G125" s="18" t="inlineStr">
        <is>
          <t xml:space="preserve">        feat: 지문·anonymousId·참여 코드로 참여자 상태를 조회하는 읽기 전용 스크립트</t>
        </is>
      </c>
      <c r="H125" s="19" t="inlineStr">
        <is>
          <t>Closed</t>
        </is>
      </c>
      <c r="I125" s="16" t="n"/>
      <c r="J125" s="15" t="n">
        <v>279</v>
      </c>
      <c r="K125" s="20" t="inlineStr">
        <is>
          <t>#228</t>
        </is>
      </c>
    </row>
    <row r="126" outlineLevel="2">
      <c r="A126" s="15" t="n">
        <v>125</v>
      </c>
      <c r="B126" s="16" t="inlineStr">
        <is>
          <t>Epic 7</t>
        </is>
      </c>
      <c r="C126" s="16" t="inlineStr">
        <is>
          <t>Story 7-2</t>
        </is>
      </c>
      <c r="D126" s="15" t="n">
        <v>3</v>
      </c>
      <c r="E126" s="17" t="inlineStr">
        <is>
          <t>Task</t>
        </is>
      </c>
      <c r="F126" s="15" t="n">
        <v>267</v>
      </c>
      <c r="G126" s="18" t="inlineStr">
        <is>
          <t xml:space="preserve">        chore: Datadog Agent 설치 및 Log Management 연동</t>
        </is>
      </c>
      <c r="H126" s="19" t="inlineStr">
        <is>
          <t>Closed</t>
        </is>
      </c>
      <c r="I126" s="16" t="n"/>
      <c r="J126" s="15" t="n">
        <v>279</v>
      </c>
      <c r="K126" s="20" t="inlineStr">
        <is>
          <t>#267</t>
        </is>
      </c>
    </row>
    <row r="127" outlineLevel="2">
      <c r="A127" s="15" t="n">
        <v>126</v>
      </c>
      <c r="B127" s="16" t="inlineStr">
        <is>
          <t>Epic 7</t>
        </is>
      </c>
      <c r="C127" s="16" t="inlineStr">
        <is>
          <t>Story 7-2</t>
        </is>
      </c>
      <c r="D127" s="15" t="n">
        <v>3</v>
      </c>
      <c r="E127" s="17" t="inlineStr">
        <is>
          <t>Task</t>
        </is>
      </c>
      <c r="F127" s="15" t="n">
        <v>268</v>
      </c>
      <c r="G127" s="18" t="inlineStr">
        <is>
          <t xml:space="preserve">        feat: Datadog APM(dd-trace) 계측 도입</t>
        </is>
      </c>
      <c r="H127" s="19" t="inlineStr">
        <is>
          <t>Closed</t>
        </is>
      </c>
      <c r="I127" s="16" t="n"/>
      <c r="J127" s="15" t="n">
        <v>279</v>
      </c>
      <c r="K127" s="20" t="inlineStr">
        <is>
          <t>#268</t>
        </is>
      </c>
    </row>
    <row r="128" outlineLevel="2">
      <c r="A128" s="15" t="n">
        <v>127</v>
      </c>
      <c r="B128" s="16" t="inlineStr">
        <is>
          <t>Epic 7</t>
        </is>
      </c>
      <c r="C128" s="16" t="n"/>
      <c r="D128" s="15" t="n">
        <v>2</v>
      </c>
      <c r="E128" s="22" t="inlineStr">
        <is>
          <t>Bug</t>
        </is>
      </c>
      <c r="F128" s="15" t="n">
        <v>232</v>
      </c>
      <c r="G128" s="18" t="inlineStr">
        <is>
          <t xml:space="preserve">    fix: 본문 필드가 문자열이 아닐 때 서버가 500을 반환하는 문제</t>
        </is>
      </c>
      <c r="H128" s="19" t="inlineStr">
        <is>
          <t>Closed</t>
        </is>
      </c>
      <c r="I128" s="16" t="n"/>
      <c r="J128" s="15" t="n">
        <v>202</v>
      </c>
      <c r="K128" s="20" t="inlineStr">
        <is>
          <t>#232</t>
        </is>
      </c>
    </row>
    <row r="129" outlineLevel="1">
      <c r="A129" s="3" t="n">
        <v>128</v>
      </c>
      <c r="B129" s="4" t="inlineStr">
        <is>
          <t>Epic 8</t>
        </is>
      </c>
      <c r="C129" s="4" t="n"/>
      <c r="D129" s="3" t="n">
        <v>1</v>
      </c>
      <c r="E129" s="5" t="inlineStr">
        <is>
          <t>Epic</t>
        </is>
      </c>
      <c r="F129" s="3" t="n">
        <v>207</v>
      </c>
      <c r="G129" s="6" t="inlineStr">
        <is>
          <t>Epic 8. 본 연구 착수 전 IRB 정합성 확보 및 시스템 정비</t>
        </is>
      </c>
      <c r="H129" s="25" t="inlineStr">
        <is>
          <t>Open</t>
        </is>
      </c>
      <c r="I129" s="4" t="n"/>
      <c r="J129" s="3" t="n"/>
      <c r="K129" s="8" t="inlineStr">
        <is>
          <t>#207</t>
        </is>
      </c>
    </row>
    <row r="130" outlineLevel="2">
      <c r="A130" s="9" t="n">
        <v>129</v>
      </c>
      <c r="B130" s="10" t="inlineStr">
        <is>
          <t>Epic 8</t>
        </is>
      </c>
      <c r="C130" s="10" t="inlineStr">
        <is>
          <t>Story 8-1</t>
        </is>
      </c>
      <c r="D130" s="9" t="n">
        <v>2</v>
      </c>
      <c r="E130" s="11" t="inlineStr">
        <is>
          <t>Story</t>
        </is>
      </c>
      <c r="F130" s="9" t="n">
        <v>280</v>
      </c>
      <c r="G130" s="12" t="inlineStr">
        <is>
          <t xml:space="preserve">    Story 8-1: 연구 기간이 끝나면 수집·전송이 자동으로 멈추고 참가자에게 안내된다</t>
        </is>
      </c>
      <c r="H130" s="23" t="inlineStr">
        <is>
          <t>Open</t>
        </is>
      </c>
      <c r="I130" s="10" t="n"/>
      <c r="J130" s="9" t="n">
        <v>207</v>
      </c>
      <c r="K130" s="14" t="inlineStr">
        <is>
          <t>#280</t>
        </is>
      </c>
    </row>
    <row r="131" outlineLevel="1">
      <c r="A131" s="15" t="n">
        <v>130</v>
      </c>
      <c r="B131" s="16" t="inlineStr">
        <is>
          <t>Epic 8</t>
        </is>
      </c>
      <c r="C131" s="16" t="inlineStr">
        <is>
          <t>Story 8-1</t>
        </is>
      </c>
      <c r="D131" s="15" t="n">
        <v>3</v>
      </c>
      <c r="E131" s="17" t="inlineStr">
        <is>
          <t>Task</t>
        </is>
      </c>
      <c r="F131" s="15" t="n">
        <v>160</v>
      </c>
      <c r="G131" s="18" t="inlineStr">
        <is>
          <t xml:space="preserve">        feat: 연구 종료 후 수집·생성 중단 + "오늘" 탭 마지막 날짜 고정</t>
        </is>
      </c>
      <c r="H131" s="19" t="inlineStr">
        <is>
          <t>Closed</t>
        </is>
      </c>
      <c r="I131" s="16" t="n"/>
      <c r="J131" s="15" t="n">
        <v>280</v>
      </c>
      <c r="K131" s="20" t="inlineStr">
        <is>
          <t>#160</t>
        </is>
      </c>
    </row>
    <row r="132" outlineLevel="2">
      <c r="A132" s="15" t="n">
        <v>131</v>
      </c>
      <c r="B132" s="16" t="inlineStr">
        <is>
          <t>Epic 8</t>
        </is>
      </c>
      <c r="C132" s="16" t="inlineStr">
        <is>
          <t>Story 8-1</t>
        </is>
      </c>
      <c r="D132" s="15" t="n">
        <v>3</v>
      </c>
      <c r="E132" s="17" t="inlineStr">
        <is>
          <t>Task</t>
        </is>
      </c>
      <c r="F132" s="15" t="n">
        <v>197</v>
      </c>
      <c r="G132" s="18" t="inlineStr">
        <is>
          <t xml:space="preserve">        feat: 연구 기간 종료 시 확장 프로그램 수집·전송 자동 중단 및 제거 안내</t>
        </is>
      </c>
      <c r="H132" s="19" t="inlineStr">
        <is>
          <t>Closed</t>
        </is>
      </c>
      <c r="I132" s="16" t="n"/>
      <c r="J132" s="15" t="n">
        <v>280</v>
      </c>
      <c r="K132" s="20" t="inlineStr">
        <is>
          <t>#197</t>
        </is>
      </c>
    </row>
    <row r="133" outlineLevel="2">
      <c r="A133" s="15" t="n">
        <v>132</v>
      </c>
      <c r="B133" s="16" t="inlineStr">
        <is>
          <t>Epic 8</t>
        </is>
      </c>
      <c r="C133" s="16" t="inlineStr">
        <is>
          <t>Story 8-1</t>
        </is>
      </c>
      <c r="D133" s="15" t="n">
        <v>3</v>
      </c>
      <c r="E133" s="17" t="inlineStr">
        <is>
          <t>Task</t>
        </is>
      </c>
      <c r="F133" s="15" t="n">
        <v>210</v>
      </c>
      <c r="G133" s="18" t="inlineStr">
        <is>
          <t xml:space="preserve">        feat: 연구 기간에 따라 달라지는 문구를 상수에서 생성하고 기간 상수 일치를 테스트로 고정</t>
        </is>
      </c>
      <c r="H133" s="19" t="inlineStr">
        <is>
          <t>Closed</t>
        </is>
      </c>
      <c r="I133" s="16" t="n"/>
      <c r="J133" s="15" t="n">
        <v>280</v>
      </c>
      <c r="K133" s="20" t="inlineStr">
        <is>
          <t>#210</t>
        </is>
      </c>
    </row>
    <row r="134" outlineLevel="2">
      <c r="A134" s="9" t="n">
        <v>133</v>
      </c>
      <c r="B134" s="10" t="inlineStr">
        <is>
          <t>Epic 8</t>
        </is>
      </c>
      <c r="C134" s="10" t="inlineStr">
        <is>
          <t>Story 8-2</t>
        </is>
      </c>
      <c r="D134" s="9" t="n">
        <v>2</v>
      </c>
      <c r="E134" s="11" t="inlineStr">
        <is>
          <t>Story</t>
        </is>
      </c>
      <c r="F134" s="9" t="n">
        <v>281</v>
      </c>
      <c r="G134" s="12" t="inlineStr">
        <is>
          <t xml:space="preserve">    Story 8-2: 참가자에게 집단(실험/대조) 정보가 노출되지 않는다</t>
        </is>
      </c>
      <c r="H134" s="23" t="inlineStr">
        <is>
          <t>Open</t>
        </is>
      </c>
      <c r="I134" s="10" t="n"/>
      <c r="J134" s="9" t="n">
        <v>207</v>
      </c>
      <c r="K134" s="14" t="inlineStr">
        <is>
          <t>#281</t>
        </is>
      </c>
    </row>
    <row r="135" outlineLevel="2">
      <c r="A135" s="15" t="n">
        <v>134</v>
      </c>
      <c r="B135" s="16" t="inlineStr">
        <is>
          <t>Epic 8</t>
        </is>
      </c>
      <c r="C135" s="16" t="inlineStr">
        <is>
          <t>Story 8-2</t>
        </is>
      </c>
      <c r="D135" s="15" t="n">
        <v>3</v>
      </c>
      <c r="E135" s="17" t="inlineStr">
        <is>
          <t>Task</t>
        </is>
      </c>
      <c r="F135" s="15" t="n">
        <v>209</v>
      </c>
      <c r="G135" s="18" t="inlineStr">
        <is>
          <t xml:space="preserve">        feat: 참여코드에서 집단 표식 제거</t>
        </is>
      </c>
      <c r="H135" s="19" t="inlineStr">
        <is>
          <t>Closed</t>
        </is>
      </c>
      <c r="I135" s="16" t="n"/>
      <c r="J135" s="15" t="n">
        <v>281</v>
      </c>
      <c r="K135" s="20" t="inlineStr">
        <is>
          <t>#209</t>
        </is>
      </c>
    </row>
    <row r="136" outlineLevel="2">
      <c r="A136" s="9" t="n">
        <v>135</v>
      </c>
      <c r="B136" s="10" t="inlineStr">
        <is>
          <t>Epic 8</t>
        </is>
      </c>
      <c r="C136" s="10" t="inlineStr">
        <is>
          <t>Story 8-3</t>
        </is>
      </c>
      <c r="D136" s="9" t="n">
        <v>2</v>
      </c>
      <c r="E136" s="11" t="inlineStr">
        <is>
          <t>Story</t>
        </is>
      </c>
      <c r="F136" s="9" t="n">
        <v>218</v>
      </c>
      <c r="G136" s="12" t="inlineStr">
        <is>
          <t xml:space="preserve">    Story 8-3: 화면·피드백·분석의 시청 집계 기준을 유효 시청·시청 시간으로 통일한다</t>
        </is>
      </c>
      <c r="H136" s="23" t="inlineStr">
        <is>
          <t>Open</t>
        </is>
      </c>
      <c r="I136" s="10" t="n"/>
      <c r="J136" s="9" t="n">
        <v>207</v>
      </c>
      <c r="K136" s="14" t="inlineStr">
        <is>
          <t>#218</t>
        </is>
      </c>
    </row>
    <row r="137" outlineLevel="2" ht="25.5" customHeight="1">
      <c r="A137" s="15" t="n">
        <v>136</v>
      </c>
      <c r="B137" s="16" t="inlineStr">
        <is>
          <t>Epic 8</t>
        </is>
      </c>
      <c r="C137" s="16" t="inlineStr">
        <is>
          <t>Story 8-3</t>
        </is>
      </c>
      <c r="D137" s="15" t="n">
        <v>3</v>
      </c>
      <c r="E137" s="17" t="inlineStr">
        <is>
          <t>Task</t>
        </is>
      </c>
      <c r="F137" s="15" t="n">
        <v>211</v>
      </c>
      <c r="G137" s="18" t="inlineStr">
        <is>
          <t xml:space="preserve">        feat: 기간별 리뷰 첫 줄에 분야별 비중과 지난 구간 대비 변화를 사실 문장으로 추가</t>
        </is>
      </c>
      <c r="H137" s="19" t="inlineStr">
        <is>
          <t>Closed</t>
        </is>
      </c>
      <c r="I137" s="16" t="n"/>
      <c r="J137" s="15" t="n">
        <v>218</v>
      </c>
      <c r="K137" s="20" t="inlineStr">
        <is>
          <t>#211</t>
        </is>
      </c>
    </row>
    <row r="138" outlineLevel="2">
      <c r="A138" s="15" t="n">
        <v>137</v>
      </c>
      <c r="B138" s="16" t="inlineStr">
        <is>
          <t>Epic 8</t>
        </is>
      </c>
      <c r="C138" s="16" t="inlineStr">
        <is>
          <t>Story 8-3</t>
        </is>
      </c>
      <c r="D138" s="15" t="n">
        <v>3</v>
      </c>
      <c r="E138" s="17" t="inlineStr">
        <is>
          <t>Task</t>
        </is>
      </c>
      <c r="F138" s="15" t="n">
        <v>217</v>
      </c>
      <c r="G138" s="18" t="inlineStr">
        <is>
          <t xml:space="preserve">        feat: 팝업 화면 숫자를 서버 집계 기준으로 통일하고 기간별 탭을 분야별 시청 시간 꺾은선으로 교체</t>
        </is>
      </c>
      <c r="H138" s="19" t="inlineStr">
        <is>
          <t>Closed</t>
        </is>
      </c>
      <c r="I138" s="16" t="n"/>
      <c r="J138" s="15" t="n">
        <v>218</v>
      </c>
      <c r="K138" s="20" t="inlineStr">
        <is>
          <t>#217</t>
        </is>
      </c>
    </row>
    <row r="139" outlineLevel="1">
      <c r="A139" s="15" t="n">
        <v>138</v>
      </c>
      <c r="B139" s="16" t="inlineStr">
        <is>
          <t>Epic 8</t>
        </is>
      </c>
      <c r="C139" s="16" t="inlineStr">
        <is>
          <t>Story 8-3</t>
        </is>
      </c>
      <c r="D139" s="15" t="n">
        <v>3</v>
      </c>
      <c r="E139" s="17" t="inlineStr">
        <is>
          <t>Task</t>
        </is>
      </c>
      <c r="F139" s="15" t="n">
        <v>253</v>
      </c>
      <c r="G139" s="18" t="inlineStr">
        <is>
          <t xml:space="preserve">        docs: 시청 집계 기준·화면 지표 결정을 기록하고 사전등록 문서에 반영</t>
        </is>
      </c>
      <c r="H139" s="24" t="inlineStr">
        <is>
          <t>Open</t>
        </is>
      </c>
      <c r="I139" s="16" t="n"/>
      <c r="J139" s="15" t="n">
        <v>218</v>
      </c>
      <c r="K139" s="20" t="inlineStr">
        <is>
          <t>#253</t>
        </is>
      </c>
    </row>
    <row r="140" outlineLevel="2">
      <c r="A140" s="15" t="n">
        <v>139</v>
      </c>
      <c r="B140" s="16" t="inlineStr">
        <is>
          <t>Epic 8</t>
        </is>
      </c>
      <c r="C140" s="16" t="inlineStr">
        <is>
          <t>Story 8-3</t>
        </is>
      </c>
      <c r="D140" s="15" t="n">
        <v>3</v>
      </c>
      <c r="E140" s="17" t="inlineStr">
        <is>
          <t>Task</t>
        </is>
      </c>
      <c r="F140" s="15" t="n">
        <v>254</v>
      </c>
      <c r="G140" s="18" t="inlineStr">
        <is>
          <t xml:space="preserve">        feat: 오늘·기간 집계를 원본 영상 데이터에서 유효 시청·시청 시간 기준으로 계산</t>
        </is>
      </c>
      <c r="H140" s="19" t="inlineStr">
        <is>
          <t>Closed</t>
        </is>
      </c>
      <c r="I140" s="16" t="n"/>
      <c r="J140" s="15" t="n">
        <v>218</v>
      </c>
      <c r="K140" s="20" t="inlineStr">
        <is>
          <t>#254</t>
        </is>
      </c>
    </row>
    <row r="141">
      <c r="A141" s="15" t="n">
        <v>140</v>
      </c>
      <c r="B141" s="16" t="inlineStr">
        <is>
          <t>Epic 8</t>
        </is>
      </c>
      <c r="C141" s="16" t="inlineStr">
        <is>
          <t>Story 8-3</t>
        </is>
      </c>
      <c r="D141" s="15" t="n">
        <v>3</v>
      </c>
      <c r="E141" s="17" t="inlineStr">
        <is>
          <t>Task</t>
        </is>
      </c>
      <c r="F141" s="15" t="n">
        <v>255</v>
      </c>
      <c r="G141" s="18" t="inlineStr">
        <is>
          <t xml:space="preserve">        feat: 오늘·기간 리뷰의 LLM 입력과 대체 문구를 유효 시청 기준으로 정렬</t>
        </is>
      </c>
      <c r="H141" s="19" t="inlineStr">
        <is>
          <t>Closed</t>
        </is>
      </c>
      <c r="I141" s="16" t="n"/>
      <c r="J141" s="15" t="n">
        <v>218</v>
      </c>
      <c r="K141" s="20" t="inlineStr">
        <is>
          <t>#255</t>
        </is>
      </c>
    </row>
    <row r="142" outlineLevel="1">
      <c r="A142" s="15" t="n">
        <v>141</v>
      </c>
      <c r="B142" s="16" t="inlineStr">
        <is>
          <t>Epic 8</t>
        </is>
      </c>
      <c r="C142" s="16" t="inlineStr">
        <is>
          <t>Story 8-3</t>
        </is>
      </c>
      <c r="D142" s="15" t="n">
        <v>3</v>
      </c>
      <c r="E142" s="17" t="inlineStr">
        <is>
          <t>Task</t>
        </is>
      </c>
      <c r="F142" s="15" t="n">
        <v>256</v>
      </c>
      <c r="G142" s="18" t="inlineStr">
        <is>
          <t xml:space="preserve">        feat: 오늘 리뷰를 유효 영상이 늘었을 때만 최소 간격을 두고 생성</t>
        </is>
      </c>
      <c r="H142" s="19" t="inlineStr">
        <is>
          <t>Closed</t>
        </is>
      </c>
      <c r="I142" s="16" t="n"/>
      <c r="J142" s="15" t="n">
        <v>218</v>
      </c>
      <c r="K142" s="20" t="inlineStr">
        <is>
          <t>#256</t>
        </is>
      </c>
    </row>
    <row r="143" outlineLevel="2">
      <c r="A143" s="15" t="n">
        <v>142</v>
      </c>
      <c r="B143" s="16" t="inlineStr">
        <is>
          <t>Epic 8</t>
        </is>
      </c>
      <c r="C143" s="16" t="inlineStr">
        <is>
          <t>Story 8-3</t>
        </is>
      </c>
      <c r="D143" s="15" t="n">
        <v>3</v>
      </c>
      <c r="E143" s="17" t="inlineStr">
        <is>
          <t>Task</t>
        </is>
      </c>
      <c r="F143" s="15" t="n">
        <v>262</v>
      </c>
      <c r="G143" s="18" t="inlineStr">
        <is>
          <t xml:space="preserve">        feat: 오늘·기간 탭에서 제목을 먼저 보이고 시청 현황(개수) 표시를 정리</t>
        </is>
      </c>
      <c r="H143" s="24" t="inlineStr">
        <is>
          <t>Open</t>
        </is>
      </c>
      <c r="I143" s="16" t="n"/>
      <c r="J143" s="15" t="n">
        <v>218</v>
      </c>
      <c r="K143" s="20" t="inlineStr">
        <is>
          <t>#262</t>
        </is>
      </c>
    </row>
    <row r="144" outlineLevel="2">
      <c r="A144" s="15" t="n">
        <v>143</v>
      </c>
      <c r="B144" s="16" t="inlineStr">
        <is>
          <t>Epic 8</t>
        </is>
      </c>
      <c r="C144" s="16" t="inlineStr">
        <is>
          <t>Story 8-3</t>
        </is>
      </c>
      <c r="D144" s="15" t="n">
        <v>3</v>
      </c>
      <c r="E144" s="17" t="inlineStr">
        <is>
          <t>Bug</t>
        </is>
      </c>
      <c r="F144" s="15" t="n">
        <v>302</v>
      </c>
      <c r="G144" s="18" t="inlineStr">
        <is>
          <t xml:space="preserve">        fix: 탭을 닫을 때 마지막 영상의 시청 시간이 유실돼 "확인 중"으로 영구히 남음</t>
        </is>
      </c>
      <c r="H144" s="19" t="inlineStr">
        <is>
          <t>Open</t>
        </is>
      </c>
      <c r="I144" s="16" t="n"/>
      <c r="J144" s="15" t="n">
        <v>218</v>
      </c>
      <c r="K144" s="20" t="inlineStr">
        <is>
          <t>#302</t>
        </is>
      </c>
    </row>
    <row r="145" outlineLevel="2">
      <c r="A145" s="15" t="n">
        <v>144</v>
      </c>
      <c r="B145" s="16" t="inlineStr">
        <is>
          <t>Epic 8</t>
        </is>
      </c>
      <c r="C145" s="16" t="inlineStr">
        <is>
          <t>Story 8-3</t>
        </is>
      </c>
      <c r="D145" s="15" t="n">
        <v>3</v>
      </c>
      <c r="E145" s="17" t="inlineStr">
        <is>
          <t>Bug</t>
        </is>
      </c>
      <c r="F145" s="15" t="n">
        <v>303</v>
      </c>
      <c r="G145" s="18" t="inlineStr">
        <is>
          <t xml:space="preserve">        fix: Shorts 시청 시간이 측정되지 않고 0초로 기록돼 유효 시청에서 빠짐</t>
        </is>
      </c>
      <c r="H145" s="19" t="inlineStr">
        <is>
          <t>Open</t>
        </is>
      </c>
      <c r="I145" s="16" t="n"/>
      <c r="J145" s="15" t="n">
        <v>218</v>
      </c>
      <c r="K145" s="20" t="inlineStr">
        <is>
          <t>#303</t>
        </is>
      </c>
    </row>
    <row r="146" outlineLevel="1">
      <c r="A146" s="9" t="n">
        <v>145</v>
      </c>
      <c r="B146" s="10" t="inlineStr">
        <is>
          <t>Epic 8</t>
        </is>
      </c>
      <c r="C146" s="10" t="inlineStr">
        <is>
          <t>Story 8-4</t>
        </is>
      </c>
      <c r="D146" s="9" t="n">
        <v>2</v>
      </c>
      <c r="E146" s="11" t="inlineStr">
        <is>
          <t>Story</t>
        </is>
      </c>
      <c r="F146" s="9" t="n">
        <v>282</v>
      </c>
      <c r="G146" s="12" t="inlineStr">
        <is>
          <t xml:space="preserve">    Story 8-4: IRB 변경심의를 신청하고 승인받는다</t>
        </is>
      </c>
      <c r="H146" s="23" t="inlineStr">
        <is>
          <t>Open</t>
        </is>
      </c>
      <c r="I146" s="10" t="n"/>
      <c r="J146" s="9" t="n">
        <v>207</v>
      </c>
      <c r="K146" s="14" t="inlineStr">
        <is>
          <t>#282</t>
        </is>
      </c>
    </row>
    <row r="147" outlineLevel="2">
      <c r="A147" s="15" t="n">
        <v>146</v>
      </c>
      <c r="B147" s="16" t="inlineStr">
        <is>
          <t>Epic 8</t>
        </is>
      </c>
      <c r="C147" s="16" t="inlineStr">
        <is>
          <t>Story 8-4</t>
        </is>
      </c>
      <c r="D147" s="15" t="n">
        <v>3</v>
      </c>
      <c r="E147" s="17" t="inlineStr">
        <is>
          <t>Task</t>
        </is>
      </c>
      <c r="F147" s="15" t="n">
        <v>213</v>
      </c>
      <c r="G147" s="18" t="inlineStr">
        <is>
          <t xml:space="preserve">        docs: IRB 변경심의 신청</t>
        </is>
      </c>
      <c r="H147" s="24" t="inlineStr">
        <is>
          <t>Open</t>
        </is>
      </c>
      <c r="I147" s="16" t="n"/>
      <c r="J147" s="15" t="n">
        <v>282</v>
      </c>
      <c r="K147" s="20" t="inlineStr">
        <is>
          <t>#213</t>
        </is>
      </c>
    </row>
    <row r="148" outlineLevel="2">
      <c r="A148" s="3" t="n">
        <v>147</v>
      </c>
      <c r="B148" s="4" t="inlineStr">
        <is>
          <t>Epic 9</t>
        </is>
      </c>
      <c r="C148" s="4" t="n"/>
      <c r="D148" s="3" t="n">
        <v>1</v>
      </c>
      <c r="E148" s="5" t="inlineStr">
        <is>
          <t>Epic</t>
        </is>
      </c>
      <c r="F148" s="3" t="n">
        <v>208</v>
      </c>
      <c r="G148" s="6" t="inlineStr">
        <is>
          <t>Epic 9. 테스트 및 품질 보강</t>
        </is>
      </c>
      <c r="H148" s="7" t="inlineStr">
        <is>
          <t>Closed</t>
        </is>
      </c>
      <c r="I148" s="4" t="n"/>
      <c r="J148" s="3" t="n"/>
      <c r="K148" s="8" t="inlineStr">
        <is>
          <t>#208</t>
        </is>
      </c>
    </row>
    <row r="149" outlineLevel="2">
      <c r="A149" s="9" t="n">
        <v>148</v>
      </c>
      <c r="B149" s="10" t="inlineStr">
        <is>
          <t>Epic 9</t>
        </is>
      </c>
      <c r="C149" s="10" t="inlineStr">
        <is>
          <t>Story 9-1</t>
        </is>
      </c>
      <c r="D149" s="9" t="n">
        <v>2</v>
      </c>
      <c r="E149" s="11" t="inlineStr">
        <is>
          <t>Story</t>
        </is>
      </c>
      <c r="F149" s="9" t="n">
        <v>283</v>
      </c>
      <c r="G149" s="12" t="inlineStr">
        <is>
          <t xml:space="preserve">    Story 9-1: 위험 기반 테스트로 연구 데이터 오염 위험을 제거한다</t>
        </is>
      </c>
      <c r="H149" s="23" t="inlineStr">
        <is>
          <t>Open</t>
        </is>
      </c>
      <c r="I149" s="10" t="n"/>
      <c r="J149" s="9" t="n">
        <v>208</v>
      </c>
      <c r="K149" s="14" t="inlineStr">
        <is>
          <t>#283</t>
        </is>
      </c>
    </row>
    <row r="150" outlineLevel="2">
      <c r="A150" s="15" t="n">
        <v>149</v>
      </c>
      <c r="B150" s="16" t="inlineStr">
        <is>
          <t>Epic 9</t>
        </is>
      </c>
      <c r="C150" s="16" t="inlineStr">
        <is>
          <t>Story 9-1</t>
        </is>
      </c>
      <c r="D150" s="15" t="n">
        <v>3</v>
      </c>
      <c r="E150" s="17" t="inlineStr">
        <is>
          <t>Task</t>
        </is>
      </c>
      <c r="F150" s="15" t="n">
        <v>165</v>
      </c>
      <c r="G150" s="18" t="inlineStr">
        <is>
          <t xml:space="preserve">        test: 위험 기반 테스트 보강 및 커버리지 측정 도입</t>
        </is>
      </c>
      <c r="H150" s="19" t="inlineStr">
        <is>
          <t>Closed</t>
        </is>
      </c>
      <c r="I150" s="16" t="n"/>
      <c r="J150" s="15" t="n">
        <v>283</v>
      </c>
      <c r="K150" s="20" t="inlineStr">
        <is>
          <t>#165</t>
        </is>
      </c>
    </row>
    <row r="151" outlineLevel="1">
      <c r="A151" s="15" t="n">
        <v>150</v>
      </c>
      <c r="B151" s="16" t="inlineStr">
        <is>
          <t>Epic 9</t>
        </is>
      </c>
      <c r="C151" s="16" t="inlineStr">
        <is>
          <t>Story 9-1</t>
        </is>
      </c>
      <c r="D151" s="15" t="n">
        <v>3</v>
      </c>
      <c r="E151" s="17" t="inlineStr">
        <is>
          <t>Task</t>
        </is>
      </c>
      <c r="F151" s="15" t="n">
        <v>167</v>
      </c>
      <c r="G151" s="18" t="inlineStr">
        <is>
          <t xml:space="preserve">        test: 위험 기반 테스트 4개 항목 구현 및 리팩터링</t>
        </is>
      </c>
      <c r="H151" s="19" t="inlineStr">
        <is>
          <t>Closed</t>
        </is>
      </c>
      <c r="I151" s="16" t="n"/>
      <c r="J151" s="15" t="n">
        <v>283</v>
      </c>
      <c r="K151" s="20" t="inlineStr">
        <is>
          <t>#167</t>
        </is>
      </c>
    </row>
    <row r="152" outlineLevel="2">
      <c r="A152" s="15" t="n">
        <v>151</v>
      </c>
      <c r="B152" s="16" t="inlineStr">
        <is>
          <t>Epic 9</t>
        </is>
      </c>
      <c r="C152" s="16" t="inlineStr">
        <is>
          <t>Story 9-1</t>
        </is>
      </c>
      <c r="D152" s="15" t="n">
        <v>3</v>
      </c>
      <c r="E152" s="17" t="inlineStr">
        <is>
          <t>Task</t>
        </is>
      </c>
      <c r="F152" s="15" t="n">
        <v>169</v>
      </c>
      <c r="G152" s="18" t="inlineStr">
        <is>
          <t xml:space="preserve">        test: 테스트 공백 보완 및 진행 기록</t>
        </is>
      </c>
      <c r="H152" s="19" t="inlineStr">
        <is>
          <t>Closed</t>
        </is>
      </c>
      <c r="I152" s="16" t="n"/>
      <c r="J152" s="15" t="n">
        <v>283</v>
      </c>
      <c r="K152" s="20" t="inlineStr">
        <is>
          <t>#169</t>
        </is>
      </c>
    </row>
    <row r="153" outlineLevel="2">
      <c r="A153" s="15" t="n">
        <v>152</v>
      </c>
      <c r="B153" s="16" t="inlineStr">
        <is>
          <t>Epic 9</t>
        </is>
      </c>
      <c r="C153" s="16" t="inlineStr">
        <is>
          <t>Story 9-1</t>
        </is>
      </c>
      <c r="D153" s="15" t="n">
        <v>3</v>
      </c>
      <c r="E153" s="17" t="inlineStr">
        <is>
          <t>Bug</t>
        </is>
      </c>
      <c r="F153" s="15" t="n">
        <v>294</v>
      </c>
      <c r="G153" s="18" t="inlineStr">
        <is>
          <t xml:space="preserve">        fix: 클라이언트가 보내는 시각도 시간대가 없으면 거부하고 UTC ISO로 정규화</t>
        </is>
      </c>
      <c r="H153" s="19" t="inlineStr">
        <is>
          <t>Closed</t>
        </is>
      </c>
      <c r="I153" s="16" t="inlineStr">
        <is>
          <t>#295</t>
        </is>
      </c>
      <c r="J153" s="15" t="n">
        <v>283</v>
      </c>
      <c r="K153" s="20" t="inlineStr">
        <is>
          <t>#294</t>
        </is>
      </c>
    </row>
    <row r="154" outlineLevel="2">
      <c r="A154" s="9" t="n">
        <v>153</v>
      </c>
      <c r="B154" s="10" t="inlineStr">
        <is>
          <t>Epic 9</t>
        </is>
      </c>
      <c r="C154" s="10" t="inlineStr">
        <is>
          <t>Story 9-2</t>
        </is>
      </c>
      <c r="D154" s="9" t="n">
        <v>2</v>
      </c>
      <c r="E154" s="11" t="inlineStr">
        <is>
          <t>Story</t>
        </is>
      </c>
      <c r="F154" s="9" t="n">
        <v>285</v>
      </c>
      <c r="G154" s="12" t="inlineStr">
        <is>
          <t xml:space="preserve">    Story 9-2: 핵심 API 경로가 실제 라우터 기준 통합 테스트로 보호된다</t>
        </is>
      </c>
      <c r="H154" s="23" t="inlineStr">
        <is>
          <t>Open</t>
        </is>
      </c>
      <c r="I154" s="10" t="n"/>
      <c r="J154" s="9" t="n">
        <v>208</v>
      </c>
      <c r="K154" s="14" t="inlineStr">
        <is>
          <t>#285</t>
        </is>
      </c>
    </row>
    <row r="155" outlineLevel="1">
      <c r="A155" s="15" t="n">
        <v>154</v>
      </c>
      <c r="B155" s="16" t="inlineStr">
        <is>
          <t>Epic 9</t>
        </is>
      </c>
      <c r="C155" s="16" t="inlineStr">
        <is>
          <t>Story 9-2</t>
        </is>
      </c>
      <c r="D155" s="15" t="n">
        <v>3</v>
      </c>
      <c r="E155" s="17" t="inlineStr">
        <is>
          <t>Task</t>
        </is>
      </c>
      <c r="F155" s="15" t="n">
        <v>234</v>
      </c>
      <c r="G155" s="18" t="inlineStr">
        <is>
          <t xml:space="preserve">        test: 종료 게이트 API 실제 라우터 배선 테스트</t>
        </is>
      </c>
      <c r="H155" s="19" t="inlineStr">
        <is>
          <t>Closed</t>
        </is>
      </c>
      <c r="I155" s="16" t="n"/>
      <c r="J155" s="15" t="n">
        <v>285</v>
      </c>
      <c r="K155" s="20" t="inlineStr">
        <is>
          <t>#234</t>
        </is>
      </c>
    </row>
    <row r="156" outlineLevel="2">
      <c r="A156" s="15" t="n">
        <v>155</v>
      </c>
      <c r="B156" s="16" t="inlineStr">
        <is>
          <t>Epic 9</t>
        </is>
      </c>
      <c r="C156" s="16" t="inlineStr">
        <is>
          <t>Story 9-2</t>
        </is>
      </c>
      <c r="D156" s="15" t="n">
        <v>3</v>
      </c>
      <c r="E156" s="17" t="inlineStr">
        <is>
          <t>Task</t>
        </is>
      </c>
      <c r="F156" s="15" t="n">
        <v>235</v>
      </c>
      <c r="G156" s="18" t="inlineStr">
        <is>
          <t xml:space="preserve">        test: CORS 허용 출처 규칙 회귀 테스트</t>
        </is>
      </c>
      <c r="H156" s="19" t="inlineStr">
        <is>
          <t>Closed</t>
        </is>
      </c>
      <c r="I156" s="16" t="n"/>
      <c r="J156" s="15" t="n">
        <v>285</v>
      </c>
      <c r="K156" s="20" t="inlineStr">
        <is>
          <t>#235</t>
        </is>
      </c>
    </row>
    <row r="157" outlineLevel="2">
      <c r="A157" s="15" t="n">
        <v>156</v>
      </c>
      <c r="B157" s="16" t="inlineStr">
        <is>
          <t>Epic 9</t>
        </is>
      </c>
      <c r="C157" s="16" t="inlineStr">
        <is>
          <t>Story 9-2</t>
        </is>
      </c>
      <c r="D157" s="15" t="n">
        <v>3</v>
      </c>
      <c r="E157" s="17" t="inlineStr">
        <is>
          <t>Task</t>
        </is>
      </c>
      <c r="F157" s="15" t="n">
        <v>236</v>
      </c>
      <c r="G157" s="18" t="inlineStr">
        <is>
          <t xml:space="preserve">        test: cron 스크립트(백업·모니터링) 테스트 가능 구조 및 테스트</t>
        </is>
      </c>
      <c r="H157" s="19" t="inlineStr">
        <is>
          <t>Closed</t>
        </is>
      </c>
      <c r="I157" s="16" t="n"/>
      <c r="J157" s="15" t="n">
        <v>285</v>
      </c>
      <c r="K157" s="20" t="inlineStr">
        <is>
          <t>#236</t>
        </is>
      </c>
    </row>
    <row r="158" outlineLevel="2">
      <c r="A158" s="15" t="n">
        <v>157</v>
      </c>
      <c r="B158" s="16" t="inlineStr">
        <is>
          <t>Epic 9</t>
        </is>
      </c>
      <c r="C158" s="16" t="inlineStr">
        <is>
          <t>Story 9-2</t>
        </is>
      </c>
      <c r="D158" s="15" t="n">
        <v>3</v>
      </c>
      <c r="E158" s="17" t="inlineStr">
        <is>
          <t>Task</t>
        </is>
      </c>
      <c r="F158" s="15" t="n">
        <v>240</v>
      </c>
      <c r="G158" s="18" t="inlineStr">
        <is>
          <t xml:space="preserve">        test: 연구 종료 게이트 통합 테스트를 실제 라우터로 전환</t>
        </is>
      </c>
      <c r="H158" s="19" t="inlineStr">
        <is>
          <t>Closed</t>
        </is>
      </c>
      <c r="I158" s="16" t="n"/>
      <c r="J158" s="15" t="n">
        <v>285</v>
      </c>
      <c r="K158" s="20" t="inlineStr">
        <is>
          <t>#240</t>
        </is>
      </c>
    </row>
    <row r="159" outlineLevel="2">
      <c r="A159" s="9" t="n">
        <v>158</v>
      </c>
      <c r="B159" s="10" t="inlineStr">
        <is>
          <t>Epic 9</t>
        </is>
      </c>
      <c r="C159" s="10" t="inlineStr">
        <is>
          <t>Story 9-3</t>
        </is>
      </c>
      <c r="D159" s="9" t="n">
        <v>2</v>
      </c>
      <c r="E159" s="11" t="inlineStr">
        <is>
          <t>Story</t>
        </is>
      </c>
      <c r="F159" s="9" t="n">
        <v>286</v>
      </c>
      <c r="G159" s="12" t="inlineStr">
        <is>
          <t xml:space="preserve">    Story 9-3: 커버리지를 정확히 측정하고 목표치를 유지한다</t>
        </is>
      </c>
      <c r="H159" s="23" t="inlineStr">
        <is>
          <t>Open</t>
        </is>
      </c>
      <c r="I159" s="10" t="n"/>
      <c r="J159" s="9" t="n">
        <v>208</v>
      </c>
      <c r="K159" s="14" t="inlineStr">
        <is>
          <t>#286</t>
        </is>
      </c>
    </row>
    <row r="160" outlineLevel="1">
      <c r="A160" s="15" t="n">
        <v>159</v>
      </c>
      <c r="B160" s="16" t="inlineStr">
        <is>
          <t>Epic 9</t>
        </is>
      </c>
      <c r="C160" s="16" t="inlineStr">
        <is>
          <t>Story 9-3</t>
        </is>
      </c>
      <c r="D160" s="15" t="n">
        <v>3</v>
      </c>
      <c r="E160" s="17" t="inlineStr">
        <is>
          <t>Task</t>
        </is>
      </c>
      <c r="F160" s="15" t="n">
        <v>233</v>
      </c>
      <c r="G160" s="18" t="inlineStr">
        <is>
          <t xml:space="preserve">        test: 커버리지 측정 보정 및 CI 정비</t>
        </is>
      </c>
      <c r="H160" s="19" t="inlineStr">
        <is>
          <t>Closed</t>
        </is>
      </c>
      <c r="I160" s="16" t="n"/>
      <c r="J160" s="15" t="n">
        <v>286</v>
      </c>
      <c r="K160" s="20" t="inlineStr">
        <is>
          <t>#233</t>
        </is>
      </c>
    </row>
    <row r="161">
      <c r="A161" s="15" t="n">
        <v>160</v>
      </c>
      <c r="B161" s="16" t="inlineStr">
        <is>
          <t>Epic 9</t>
        </is>
      </c>
      <c r="C161" s="16" t="inlineStr">
        <is>
          <t>Story 9-3</t>
        </is>
      </c>
      <c r="D161" s="15" t="n">
        <v>3</v>
      </c>
      <c r="E161" s="17" t="inlineStr">
        <is>
          <t>Task</t>
        </is>
      </c>
      <c r="F161" s="15" t="n">
        <v>259</v>
      </c>
      <c r="G161" s="18" t="inlineStr">
        <is>
          <t xml:space="preserve">        test: content.js를 커버리지로 측정되게 하고 80% 이상으로 보강</t>
        </is>
      </c>
      <c r="H161" s="19" t="inlineStr">
        <is>
          <t>Closed</t>
        </is>
      </c>
      <c r="I161" s="16" t="inlineStr">
        <is>
          <t>#266</t>
        </is>
      </c>
      <c r="J161" s="15" t="n">
        <v>286</v>
      </c>
      <c r="K161" s="20" t="inlineStr">
        <is>
          <t>#259</t>
        </is>
      </c>
    </row>
    <row r="162">
      <c r="A162" s="15" t="n">
        <v>161</v>
      </c>
      <c r="B162" s="16" t="inlineStr">
        <is>
          <t>Epic 9</t>
        </is>
      </c>
      <c r="C162" s="16" t="inlineStr">
        <is>
          <t>Story 9-3</t>
        </is>
      </c>
      <c r="D162" s="15" t="n">
        <v>3</v>
      </c>
      <c r="E162" s="17" t="inlineStr">
        <is>
          <t>Task</t>
        </is>
      </c>
      <c r="F162" s="15" t="n">
        <v>265</v>
      </c>
      <c r="G162" s="18" t="inlineStr">
        <is>
          <t xml:space="preserve">        test: 팝업 파일을 커버리지로 측정되게 전환</t>
        </is>
      </c>
      <c r="H162" s="24" t="inlineStr">
        <is>
          <t>Open</t>
        </is>
      </c>
      <c r="I162" s="16" t="inlineStr">
        <is>
          <t>#284</t>
        </is>
      </c>
      <c r="J162" s="15" t="n">
        <v>286</v>
      </c>
      <c r="K162" s="20" t="inlineStr">
        <is>
          <t>#265</t>
        </is>
      </c>
    </row>
    <row r="163">
      <c r="A163" s="15" t="n">
        <v>162</v>
      </c>
      <c r="B163" s="16" t="inlineStr">
        <is>
          <t>Epic 9</t>
        </is>
      </c>
      <c r="C163" s="16" t="inlineStr">
        <is>
          <t>Story 9-3</t>
        </is>
      </c>
      <c r="D163" s="15" t="n">
        <v>3</v>
      </c>
      <c r="E163" s="17" t="inlineStr">
        <is>
          <t>Task</t>
        </is>
      </c>
      <c r="F163" s="15" t="n">
        <v>296</v>
      </c>
      <c r="G163" s="18" t="inlineStr">
        <is>
          <t xml:space="preserve">        test: 앱 조립을 create-app.js로 분리하고 실제 조립된 앱(미들웨어 순서·라우터 마운트)을 테스트로 검증</t>
        </is>
      </c>
      <c r="H163" s="24" t="inlineStr">
        <is>
          <t>Open</t>
        </is>
      </c>
      <c r="I163" s="16" t="inlineStr">
        <is>
          <t>#298</t>
        </is>
      </c>
      <c r="J163" s="15" t="n">
        <v>286</v>
      </c>
      <c r="K163" s="20" t="inlineStr">
        <is>
          <t>#296</t>
        </is>
      </c>
    </row>
    <row r="164">
      <c r="A164" s="15" t="n">
        <v>163</v>
      </c>
      <c r="B164" s="16" t="inlineStr">
        <is>
          <t>Epic 9</t>
        </is>
      </c>
      <c r="C164" s="16" t="inlineStr">
        <is>
          <t>Story 9-3</t>
        </is>
      </c>
      <c r="D164" s="15" t="n">
        <v>3</v>
      </c>
      <c r="E164" s="17" t="inlineStr">
        <is>
          <t>Task</t>
        </is>
      </c>
      <c r="F164" s="15" t="n">
        <v>297</v>
      </c>
      <c r="G164" s="18" t="inlineStr">
        <is>
          <t xml:space="preserve">        test: seed-codes.js를 scripts/로 옮겨 테스트 가능한 구조로 바꾸고, 잘못된 group이 있으면 명단 등록을 거부</t>
        </is>
      </c>
      <c r="H164" s="24" t="inlineStr">
        <is>
          <t>Open</t>
        </is>
      </c>
      <c r="I164" s="16" t="n"/>
      <c r="J164" s="15" t="n">
        <v>286</v>
      </c>
      <c r="K164" s="20" t="inlineStr">
        <is>
          <t>#297</t>
        </is>
      </c>
    </row>
    <row r="165">
      <c r="A165" s="9" t="n">
        <v>164</v>
      </c>
      <c r="B165" s="10" t="inlineStr">
        <is>
          <t>Epic 9</t>
        </is>
      </c>
      <c r="C165" s="10" t="inlineStr">
        <is>
          <t>Story 9-4</t>
        </is>
      </c>
      <c r="D165" s="9" t="n">
        <v>2</v>
      </c>
      <c r="E165" s="11" t="inlineStr">
        <is>
          <t>Story</t>
        </is>
      </c>
      <c r="F165" s="9" t="n">
        <v>287</v>
      </c>
      <c r="G165" s="12" t="inlineStr">
        <is>
          <t xml:space="preserve">    Story 9-4: 코드 형식·정적 분석·CI가 자동으로 관리된다</t>
        </is>
      </c>
      <c r="H165" s="23" t="inlineStr">
        <is>
          <t>Open</t>
        </is>
      </c>
      <c r="I165" s="10" t="n"/>
      <c r="J165" s="9" t="n">
        <v>208</v>
      </c>
      <c r="K165" s="14" t="inlineStr">
        <is>
          <t>#287</t>
        </is>
      </c>
    </row>
    <row r="166">
      <c r="A166" s="15" t="n">
        <v>165</v>
      </c>
      <c r="B166" s="16" t="inlineStr">
        <is>
          <t>Epic 9</t>
        </is>
      </c>
      <c r="C166" s="16" t="inlineStr">
        <is>
          <t>Story 9-4</t>
        </is>
      </c>
      <c r="D166" s="15" t="n">
        <v>3</v>
      </c>
      <c r="E166" s="17" t="inlineStr">
        <is>
          <t>Task</t>
        </is>
      </c>
      <c r="F166" s="15" t="n">
        <v>134</v>
      </c>
      <c r="G166" s="18" t="inlineStr">
        <is>
          <t xml:space="preserve">        test: ESLint 설정 복구 및 핵심 로직(analysis/llm) 단위 테스트 도입</t>
        </is>
      </c>
      <c r="H166" s="19" t="inlineStr">
        <is>
          <t>Closed</t>
        </is>
      </c>
      <c r="I166" s="16" t="inlineStr">
        <is>
          <t>#135</t>
        </is>
      </c>
      <c r="J166" s="15" t="n">
        <v>287</v>
      </c>
      <c r="K166" s="20" t="inlineStr">
        <is>
          <t>#134</t>
        </is>
      </c>
    </row>
    <row r="167">
      <c r="A167" s="15" t="n">
        <v>166</v>
      </c>
      <c r="B167" s="16" t="inlineStr">
        <is>
          <t>Epic 9</t>
        </is>
      </c>
      <c r="C167" s="16" t="inlineStr">
        <is>
          <t>Story 9-4</t>
        </is>
      </c>
      <c r="D167" s="15" t="n">
        <v>3</v>
      </c>
      <c r="E167" s="17" t="inlineStr">
        <is>
          <t>Task</t>
        </is>
      </c>
      <c r="F167" s="15" t="n">
        <v>241</v>
      </c>
      <c r="G167" s="18" t="inlineStr">
        <is>
          <t xml:space="preserve">        chore: prettier 형식 일괄 정리 및 CI 형식 검사 추가</t>
        </is>
      </c>
      <c r="H167" s="19" t="inlineStr">
        <is>
          <t>Closed</t>
        </is>
      </c>
      <c r="I167" s="16" t="n"/>
      <c r="J167" s="15" t="n">
        <v>287</v>
      </c>
      <c r="K167" s="20" t="inlineStr">
        <is>
          <t>#241</t>
        </is>
      </c>
    </row>
    <row r="168">
      <c r="A168" s="15" t="n">
        <v>167</v>
      </c>
      <c r="B168" s="16" t="inlineStr">
        <is>
          <t>Epic 9</t>
        </is>
      </c>
      <c r="C168" s="16" t="inlineStr">
        <is>
          <t>Story 9-4</t>
        </is>
      </c>
      <c r="D168" s="15" t="n">
        <v>3</v>
      </c>
      <c r="E168" s="17" t="inlineStr">
        <is>
          <t>Task</t>
        </is>
      </c>
      <c r="F168" s="15" t="n">
        <v>244</v>
      </c>
      <c r="G168" s="18" t="inlineStr">
        <is>
          <t xml:space="preserve">        chore: CI action을 Node 24 지원 버전으로 올리고 Dependabot으로 버전 업데이트 자동화</t>
        </is>
      </c>
      <c r="H168" s="19" t="inlineStr">
        <is>
          <t>Closed</t>
        </is>
      </c>
      <c r="I168" s="16" t="n"/>
      <c r="J168" s="15" t="n">
        <v>287</v>
      </c>
      <c r="K168" s="20" t="inlineStr">
        <is>
          <t>#244</t>
        </is>
      </c>
    </row>
    <row r="169">
      <c r="A169" s="15" t="n">
        <v>168</v>
      </c>
      <c r="B169" s="16" t="inlineStr">
        <is>
          <t>Epic 9</t>
        </is>
      </c>
      <c r="C169" s="16" t="inlineStr">
        <is>
          <t>Story 9-4</t>
        </is>
      </c>
      <c r="D169" s="15" t="n">
        <v>3</v>
      </c>
      <c r="E169" s="17" t="inlineStr">
        <is>
          <t>Task</t>
        </is>
      </c>
      <c r="F169" s="15" t="n">
        <v>288</v>
      </c>
      <c r="G169" s="18" t="inlineStr">
        <is>
          <t xml:space="preserve">        chore: SonarQube 코드 품질 측정 도입</t>
        </is>
      </c>
      <c r="H169" s="24" t="inlineStr">
        <is>
          <t>Open</t>
        </is>
      </c>
      <c r="I169" s="16" t="n"/>
      <c r="J169" s="15" t="n">
        <v>287</v>
      </c>
      <c r="K169" s="20" t="inlineStr">
        <is>
          <t>#288</t>
        </is>
      </c>
    </row>
    <row r="170">
      <c r="A170" s="9" t="n">
        <v>169</v>
      </c>
      <c r="B170" s="10" t="inlineStr">
        <is>
          <t>Epic 9</t>
        </is>
      </c>
      <c r="C170" s="10" t="inlineStr">
        <is>
          <t>Story 9-5</t>
        </is>
      </c>
      <c r="D170" s="9" t="n">
        <v>2</v>
      </c>
      <c r="E170" s="11" t="inlineStr">
        <is>
          <t>Story</t>
        </is>
      </c>
      <c r="F170" s="9" t="n">
        <v>289</v>
      </c>
      <c r="G170" s="12" t="inlineStr">
        <is>
          <t xml:space="preserve">    Story 9-5: 본 연구 규모(참가자 약 80명)의 부하를 서버가 견딘다</t>
        </is>
      </c>
      <c r="H170" s="23" t="inlineStr">
        <is>
          <t>Open</t>
        </is>
      </c>
      <c r="I170" s="10" t="n"/>
      <c r="J170" s="9" t="n">
        <v>208</v>
      </c>
      <c r="K170" s="14" t="inlineStr">
        <is>
          <t>#289</t>
        </is>
      </c>
    </row>
  </sheetData>
  <autoFilter ref="A1:K170"/>
  <dataValidations count="2">
    <dataValidation sqref="E2:E170" showDropDown="0" showInputMessage="0" showErrorMessage="0" allowBlank="0" type="list">
      <formula1>"Epic,Story,Task,Bug"</formula1>
      <formula2>0</formula2>
    </dataValidation>
    <dataValidation sqref="H2:H170" showDropDown="0" showInputMessage="0" showErrorMessage="0" allowBlank="0" type="list">
      <formula1>"Open,Closed"</formula1>
      <formula2>0</formula2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10" customWidth="1" min="1" max="1"/>
    <col width="52" customWidth="1" min="2" max="2"/>
    <col width="9" customWidth="1" min="3" max="5"/>
    <col width="10" customWidth="1" min="6" max="6"/>
    <col width="8" customWidth="1" min="7" max="8"/>
    <col width="9" customWidth="1" min="9" max="9"/>
  </cols>
  <sheetData>
    <row r="1">
      <c r="A1" s="1" t="inlineStr">
        <is>
          <t>Epic</t>
        </is>
      </c>
      <c r="B1" s="2" t="inlineStr">
        <is>
          <t>제목</t>
        </is>
      </c>
      <c r="C1" s="1" t="inlineStr">
        <is>
          <t>Story 수</t>
        </is>
      </c>
      <c r="D1" s="1" t="inlineStr">
        <is>
          <t>Task 수</t>
        </is>
      </c>
      <c r="E1" s="1" t="inlineStr">
        <is>
          <t>Bug 수</t>
        </is>
      </c>
      <c r="F1" s="2" t="inlineStr">
        <is>
          <t>전체 이슈</t>
        </is>
      </c>
      <c r="G1" s="1" t="inlineStr">
        <is>
          <t>Open</t>
        </is>
      </c>
      <c r="H1" s="1" t="inlineStr">
        <is>
          <t>Closed</t>
        </is>
      </c>
      <c r="I1" s="2" t="inlineStr">
        <is>
          <t>완료율</t>
        </is>
      </c>
    </row>
    <row r="2">
      <c r="A2" s="26" t="inlineStr">
        <is>
          <t>Epic 1</t>
        </is>
      </c>
      <c r="B2" s="27" t="inlineStr">
        <is>
          <t>Epic 1: 크롬 확장 프로그램 - 핵심 데이터 수집</t>
        </is>
      </c>
      <c r="C2" s="26">
        <f>COUNTIFS(백로그!$B$2:$B$170,$A2,백로그!$E$2:$E$170,"Story")</f>
        <v/>
      </c>
      <c r="D2" s="26">
        <f>COUNTIFS(백로그!$B$2:$B$170,$A2,백로그!$E$2:$E$170,"Task")</f>
        <v/>
      </c>
      <c r="E2" s="26">
        <f>COUNTIFS(백로그!$B$2:$B$170,$A2,백로그!$E$2:$E$170,"Bug")</f>
        <v/>
      </c>
      <c r="F2" s="26">
        <f>SUM(C2:E2)</f>
        <v/>
      </c>
      <c r="G2" s="26">
        <f>COUNTIFS(백로그!$B$2:$B$170,$A2,백로그!$H$2:$H$170,"Open",백로그!$E$2:$E$170,"&lt;&gt;Epic")</f>
        <v/>
      </c>
      <c r="H2" s="26">
        <f>COUNTIFS(백로그!$B$2:$B$170,$A2,백로그!$H$2:$H$170,"Closed",백로그!$E$2:$E$170,"&lt;&gt;Epic")</f>
        <v/>
      </c>
      <c r="I2" s="36">
        <f>IF(F2=0,0,H2/F2)</f>
        <v/>
      </c>
    </row>
    <row r="3">
      <c r="A3" s="26" t="inlineStr">
        <is>
          <t>Epic 2</t>
        </is>
      </c>
      <c r="B3" s="27" t="inlineStr">
        <is>
          <t>Epic 2: 분석 파이프라인</t>
        </is>
      </c>
      <c r="C3" s="26">
        <f>COUNTIFS(백로그!$B$2:$B$170,$A3,백로그!$E$2:$E$170,"Story")</f>
        <v/>
      </c>
      <c r="D3" s="26">
        <f>COUNTIFS(백로그!$B$2:$B$170,$A3,백로그!$E$2:$E$170,"Task")</f>
        <v/>
      </c>
      <c r="E3" s="26">
        <f>COUNTIFS(백로그!$B$2:$B$170,$A3,백로그!$E$2:$E$170,"Bug")</f>
        <v/>
      </c>
      <c r="F3" s="26">
        <f>SUM(C3:E3)</f>
        <v/>
      </c>
      <c r="G3" s="26">
        <f>COUNTIFS(백로그!$B$2:$B$170,$A3,백로그!$H$2:$H$170,"Open",백로그!$E$2:$E$170,"&lt;&gt;Epic")</f>
        <v/>
      </c>
      <c r="H3" s="26">
        <f>COUNTIFS(백로그!$B$2:$B$170,$A3,백로그!$H$2:$H$170,"Closed",백로그!$E$2:$E$170,"&lt;&gt;Epic")</f>
        <v/>
      </c>
      <c r="I3" s="36">
        <f>IF(F3=0,0,H3/F3)</f>
        <v/>
      </c>
    </row>
    <row r="4">
      <c r="A4" s="26" t="inlineStr">
        <is>
          <t>Epic 3</t>
        </is>
      </c>
      <c r="B4" s="27" t="inlineStr">
        <is>
          <t>Epic 3: 팝업 UI &amp; 시각화</t>
        </is>
      </c>
      <c r="C4" s="26">
        <f>COUNTIFS(백로그!$B$2:$B$170,$A4,백로그!$E$2:$E$170,"Story")</f>
        <v/>
      </c>
      <c r="D4" s="26">
        <f>COUNTIFS(백로그!$B$2:$B$170,$A4,백로그!$E$2:$E$170,"Task")</f>
        <v/>
      </c>
      <c r="E4" s="26">
        <f>COUNTIFS(백로그!$B$2:$B$170,$A4,백로그!$E$2:$E$170,"Bug")</f>
        <v/>
      </c>
      <c r="F4" s="26">
        <f>SUM(C4:E4)</f>
        <v/>
      </c>
      <c r="G4" s="26">
        <f>COUNTIFS(백로그!$B$2:$B$170,$A4,백로그!$H$2:$H$170,"Open",백로그!$E$2:$E$170,"&lt;&gt;Epic")</f>
        <v/>
      </c>
      <c r="H4" s="26">
        <f>COUNTIFS(백로그!$B$2:$B$170,$A4,백로그!$H$2:$H$170,"Closed",백로그!$E$2:$E$170,"&lt;&gt;Epic")</f>
        <v/>
      </c>
      <c r="I4" s="36">
        <f>IF(F4=0,0,H4/F4)</f>
        <v/>
      </c>
    </row>
    <row r="5">
      <c r="A5" s="26" t="inlineStr">
        <is>
          <t>Epic 4</t>
        </is>
      </c>
      <c r="B5" s="27" t="inlineStr">
        <is>
          <t>Epic 4: 백엔드 서버 - API &amp; DB</t>
        </is>
      </c>
      <c r="C5" s="26">
        <f>COUNTIFS(백로그!$B$2:$B$170,$A5,백로그!$E$2:$E$170,"Story")</f>
        <v/>
      </c>
      <c r="D5" s="26">
        <f>COUNTIFS(백로그!$B$2:$B$170,$A5,백로그!$E$2:$E$170,"Task")</f>
        <v/>
      </c>
      <c r="E5" s="26">
        <f>COUNTIFS(백로그!$B$2:$B$170,$A5,백로그!$E$2:$E$170,"Bug")</f>
        <v/>
      </c>
      <c r="F5" s="26">
        <f>SUM(C5:E5)</f>
        <v/>
      </c>
      <c r="G5" s="26">
        <f>COUNTIFS(백로그!$B$2:$B$170,$A5,백로그!$H$2:$H$170,"Open",백로그!$E$2:$E$170,"&lt;&gt;Epic")</f>
        <v/>
      </c>
      <c r="H5" s="26">
        <f>COUNTIFS(백로그!$B$2:$B$170,$A5,백로그!$H$2:$H$170,"Closed",백로그!$E$2:$E$170,"&lt;&gt;Epic")</f>
        <v/>
      </c>
      <c r="I5" s="36">
        <f>IF(F5=0,0,H5/F5)</f>
        <v/>
      </c>
    </row>
    <row r="6">
      <c r="A6" s="26" t="inlineStr">
        <is>
          <t>Epic 5</t>
        </is>
      </c>
      <c r="B6" s="27" t="inlineStr">
        <is>
          <t>Epic 5: 데이터·개인정보 보강</t>
        </is>
      </c>
      <c r="C6" s="26">
        <f>COUNTIFS(백로그!$B$2:$B$170,$A6,백로그!$E$2:$E$170,"Story")</f>
        <v/>
      </c>
      <c r="D6" s="26">
        <f>COUNTIFS(백로그!$B$2:$B$170,$A6,백로그!$E$2:$E$170,"Task")</f>
        <v/>
      </c>
      <c r="E6" s="26">
        <f>COUNTIFS(백로그!$B$2:$B$170,$A6,백로그!$E$2:$E$170,"Bug")</f>
        <v/>
      </c>
      <c r="F6" s="26">
        <f>SUM(C6:E6)</f>
        <v/>
      </c>
      <c r="G6" s="26">
        <f>COUNTIFS(백로그!$B$2:$B$170,$A6,백로그!$H$2:$H$170,"Open",백로그!$E$2:$E$170,"&lt;&gt;Epic")</f>
        <v/>
      </c>
      <c r="H6" s="26">
        <f>COUNTIFS(백로그!$B$2:$B$170,$A6,백로그!$H$2:$H$170,"Closed",백로그!$E$2:$E$170,"&lt;&gt;Epic")</f>
        <v/>
      </c>
      <c r="I6" s="36">
        <f>IF(F6=0,0,H6/F6)</f>
        <v/>
      </c>
    </row>
    <row r="7">
      <c r="A7" s="26" t="inlineStr">
        <is>
          <t>Epic 6</t>
        </is>
      </c>
      <c r="B7" s="27" t="inlineStr">
        <is>
          <t>Epic 6. 본 연구 착수 전 기능 안정화</t>
        </is>
      </c>
      <c r="C7" s="26">
        <f>COUNTIFS(백로그!$B$2:$B$170,$A7,백로그!$E$2:$E$170,"Story")</f>
        <v/>
      </c>
      <c r="D7" s="26">
        <f>COUNTIFS(백로그!$B$2:$B$170,$A7,백로그!$E$2:$E$170,"Task")</f>
        <v/>
      </c>
      <c r="E7" s="26">
        <f>COUNTIFS(백로그!$B$2:$B$170,$A7,백로그!$E$2:$E$170,"Bug")</f>
        <v/>
      </c>
      <c r="F7" s="26">
        <f>SUM(C7:E7)</f>
        <v/>
      </c>
      <c r="G7" s="26">
        <f>COUNTIFS(백로그!$B$2:$B$170,$A7,백로그!$H$2:$H$170,"Open",백로그!$E$2:$E$170,"&lt;&gt;Epic")</f>
        <v/>
      </c>
      <c r="H7" s="26">
        <f>COUNTIFS(백로그!$B$2:$B$170,$A7,백로그!$H$2:$H$170,"Closed",백로그!$E$2:$E$170,"&lt;&gt;Epic")</f>
        <v/>
      </c>
      <c r="I7" s="36">
        <f>IF(F7=0,0,H7/F7)</f>
        <v/>
      </c>
    </row>
    <row r="8">
      <c r="A8" s="26" t="inlineStr">
        <is>
          <t>Epic 7</t>
        </is>
      </c>
      <c r="B8" s="27" t="inlineStr">
        <is>
          <t>Epic 7. 관측 체계 구축 및 운영</t>
        </is>
      </c>
      <c r="C8" s="26">
        <f>COUNTIFS(백로그!$B$2:$B$170,$A8,백로그!$E$2:$E$170,"Story")</f>
        <v/>
      </c>
      <c r="D8" s="26">
        <f>COUNTIFS(백로그!$B$2:$B$170,$A8,백로그!$E$2:$E$170,"Task")</f>
        <v/>
      </c>
      <c r="E8" s="26">
        <f>COUNTIFS(백로그!$B$2:$B$170,$A8,백로그!$E$2:$E$170,"Bug")</f>
        <v/>
      </c>
      <c r="F8" s="26">
        <f>SUM(C8:E8)</f>
        <v/>
      </c>
      <c r="G8" s="26">
        <f>COUNTIFS(백로그!$B$2:$B$170,$A8,백로그!$H$2:$H$170,"Open",백로그!$E$2:$E$170,"&lt;&gt;Epic")</f>
        <v/>
      </c>
      <c r="H8" s="26">
        <f>COUNTIFS(백로그!$B$2:$B$170,$A8,백로그!$H$2:$H$170,"Closed",백로그!$E$2:$E$170,"&lt;&gt;Epic")</f>
        <v/>
      </c>
      <c r="I8" s="36">
        <f>IF(F8=0,0,H8/F8)</f>
        <v/>
      </c>
    </row>
    <row r="9">
      <c r="A9" s="26" t="inlineStr">
        <is>
          <t>Epic 8</t>
        </is>
      </c>
      <c r="B9" s="27" t="inlineStr">
        <is>
          <t>Epic 8. 본 연구 착수 전 IRB 정합성 확보 및 시스템 정비</t>
        </is>
      </c>
      <c r="C9" s="26">
        <f>COUNTIFS(백로그!$B$2:$B$170,$A9,백로그!$E$2:$E$170,"Story")</f>
        <v/>
      </c>
      <c r="D9" s="26">
        <f>COUNTIFS(백로그!$B$2:$B$170,$A9,백로그!$E$2:$E$170,"Task")</f>
        <v/>
      </c>
      <c r="E9" s="26">
        <f>COUNTIFS(백로그!$B$2:$B$170,$A9,백로그!$E$2:$E$170,"Bug")</f>
        <v/>
      </c>
      <c r="F9" s="26">
        <f>SUM(C9:E9)</f>
        <v/>
      </c>
      <c r="G9" s="26">
        <f>COUNTIFS(백로그!$B$2:$B$170,$A9,백로그!$H$2:$H$170,"Open",백로그!$E$2:$E$170,"&lt;&gt;Epic")</f>
        <v/>
      </c>
      <c r="H9" s="26">
        <f>COUNTIFS(백로그!$B$2:$B$170,$A9,백로그!$H$2:$H$170,"Closed",백로그!$E$2:$E$170,"&lt;&gt;Epic")</f>
        <v/>
      </c>
      <c r="I9" s="36">
        <f>IF(F9=0,0,H9/F9)</f>
        <v/>
      </c>
    </row>
    <row r="10">
      <c r="A10" s="26" t="inlineStr">
        <is>
          <t>Epic 9</t>
        </is>
      </c>
      <c r="B10" s="27" t="inlineStr">
        <is>
          <t>Epic 9. 테스트 및 품질 보강</t>
        </is>
      </c>
      <c r="C10" s="26">
        <f>COUNTIFS(백로그!$B$2:$B$170,$A10,백로그!$E$2:$E$170,"Story")</f>
        <v/>
      </c>
      <c r="D10" s="26">
        <f>COUNTIFS(백로그!$B$2:$B$170,$A10,백로그!$E$2:$E$170,"Task")</f>
        <v/>
      </c>
      <c r="E10" s="26">
        <f>COUNTIFS(백로그!$B$2:$B$170,$A10,백로그!$E$2:$E$170,"Bug")</f>
        <v/>
      </c>
      <c r="F10" s="26">
        <f>SUM(C10:E10)</f>
        <v/>
      </c>
      <c r="G10" s="26">
        <f>COUNTIFS(백로그!$B$2:$B$170,$A10,백로그!$H$2:$H$170,"Open",백로그!$E$2:$E$170,"&lt;&gt;Epic")</f>
        <v/>
      </c>
      <c r="H10" s="26">
        <f>COUNTIFS(백로그!$B$2:$B$170,$A10,백로그!$H$2:$H$170,"Closed",백로그!$E$2:$E$170,"&lt;&gt;Epic")</f>
        <v/>
      </c>
      <c r="I10" s="36">
        <f>IF(F10=0,0,H10/F10)</f>
        <v/>
      </c>
    </row>
    <row r="11">
      <c r="A11" s="29" t="inlineStr">
        <is>
          <t>합계</t>
        </is>
      </c>
      <c r="B11" s="30" t="n"/>
      <c r="C11" s="29">
        <f>SUM(C2:C10)</f>
        <v/>
      </c>
      <c r="D11" s="29">
        <f>SUM(D2:D10)</f>
        <v/>
      </c>
      <c r="E11" s="29">
        <f>SUM(E2:E10)</f>
        <v/>
      </c>
      <c r="F11" s="29">
        <f>SUM(F2:F10)</f>
        <v/>
      </c>
      <c r="G11" s="29">
        <f>SUM(G2:G10)</f>
        <v/>
      </c>
      <c r="H11" s="29">
        <f>SUM(H2:H10)</f>
        <v/>
      </c>
      <c r="I11" s="37">
        <f>IF(F11=0,0,H11/F11)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Normal="100" workbookViewId="0">
      <selection activeCell="A8" sqref="A8"/>
    </sheetView>
  </sheetViews>
  <sheetFormatPr baseColWidth="8" defaultColWidth="8.6640625" defaultRowHeight="14.25"/>
  <cols>
    <col width="8" customWidth="1" min="1" max="1"/>
    <col width="60" customWidth="1" min="2" max="2"/>
    <col width="9" customWidth="1" min="3" max="3"/>
    <col width="26" customWidth="1" min="4" max="4"/>
    <col width="40" customWidth="1" min="5" max="5"/>
    <col width="8" customWidth="1" min="6" max="6"/>
  </cols>
  <sheetData>
    <row r="1">
      <c r="A1" s="32" t="inlineStr">
        <is>
          <t>이슈 #</t>
        </is>
      </c>
      <c r="B1" s="32" t="inlineStr">
        <is>
          <t>제목</t>
        </is>
      </c>
      <c r="C1" s="32" t="inlineStr">
        <is>
          <t>상태</t>
        </is>
      </c>
      <c r="D1" s="32" t="inlineStr">
        <is>
          <t>제안 위치</t>
        </is>
      </c>
      <c r="E1" s="32" t="inlineStr">
        <is>
          <t>비고</t>
        </is>
      </c>
      <c r="F1" s="32" t="inlineStr">
        <is>
          <t>링크</t>
        </is>
      </c>
    </row>
    <row r="2">
      <c r="A2" s="27" t="n">
        <v>75</v>
      </c>
      <c r="B2" s="27" t="inlineStr">
        <is>
          <t>feat: 실험 온보딩 및 설문 알림 기능을 사용할 수 있다</t>
        </is>
      </c>
      <c r="C2" s="27" t="inlineStr">
        <is>
          <t>Closed</t>
        </is>
      </c>
      <c r="D2" s="27" t="inlineStr">
        <is>
          <t>#49 하위 Task</t>
        </is>
      </c>
      <c r="E2" s="27" t="inlineStr">
        <is>
          <t>PR #76. #49와 쌍둥이 작업 이슈</t>
        </is>
      </c>
      <c r="F2" s="33" t="inlineStr">
        <is>
          <t>#75</t>
        </is>
      </c>
    </row>
    <row r="3">
      <c r="A3" s="27" t="n">
        <v>115</v>
      </c>
      <c r="B3" s="34" t="inlineStr">
        <is>
          <t>개인정보·식별자 체계 및 IRB / 개인정보 처리방침 재설계</t>
        </is>
      </c>
      <c r="C3" s="27" t="inlineStr">
        <is>
          <t>Closed</t>
        </is>
      </c>
      <c r="D3" s="27" t="inlineStr">
        <is>
          <t>#128 하위 Task</t>
        </is>
      </c>
      <c r="E3" s="27" t="inlineStr">
        <is>
          <t>PR #120. Story 5-1의 1차 작업</t>
        </is>
      </c>
      <c r="F3" s="33" t="inlineStr">
        <is>
          <t>#115</t>
        </is>
      </c>
    </row>
    <row r="4">
      <c r="A4" s="27" t="n">
        <v>269</v>
      </c>
      <c r="B4" s="27" t="inlineStr">
        <is>
          <t>bug: 4xx 접근 로그 추가 및 그 과정에서 발견한 보안·데이터 정합성 수정</t>
        </is>
      </c>
      <c r="C4" s="27" t="inlineStr">
        <is>
          <t>Closed</t>
        </is>
      </c>
      <c r="D4" s="27" t="inlineStr">
        <is>
          <t>#172 Story 7-1 하위 Bug</t>
        </is>
      </c>
      <c r="E4" s="34" t="inlineStr">
        <is>
          <t>제목 접두어 fix: 로 변경 권장</t>
        </is>
      </c>
      <c r="F4" s="33" t="inlineStr">
        <is>
          <t>#269</t>
        </is>
      </c>
    </row>
    <row r="5">
      <c r="A5" s="27" t="n">
        <v>91</v>
      </c>
      <c r="B5" s="27" t="inlineStr">
        <is>
          <t>feat: 세션 분석 완료 후 서버 전송</t>
        </is>
      </c>
      <c r="C5" s="27" t="inlineStr">
        <is>
          <t>Closed</t>
        </is>
      </c>
      <c r="D5" s="34" t="inlineStr">
        <is>
          <t>중복으로 닫기</t>
        </is>
      </c>
      <c r="E5" s="27" t="inlineStr">
        <is>
          <t>#89와 본문 동일</t>
        </is>
      </c>
      <c r="F5" s="33" t="inlineStr">
        <is>
          <t>#91</t>
        </is>
      </c>
    </row>
    <row r="6">
      <c r="A6" s="27" t="n">
        <v>97</v>
      </c>
      <c r="B6" s="27" t="inlineStr">
        <is>
          <t>2차 개발 작업 리스트 및 폴더 구조 정리</t>
        </is>
      </c>
      <c r="C6" s="27" t="inlineStr">
        <is>
          <t>Closed</t>
        </is>
      </c>
      <c r="D6" s="34" t="inlineStr">
        <is>
          <t>부모 없음</t>
        </is>
      </c>
      <c r="E6" s="34" t="inlineStr">
        <is>
          <t>프로젝트 관리 작업, PR #98</t>
        </is>
      </c>
      <c r="F6" s="33" t="inlineStr">
        <is>
          <t>#97</t>
        </is>
      </c>
    </row>
    <row r="7">
      <c r="A7" s="27" t="n">
        <v>77</v>
      </c>
      <c r="B7" s="27" t="inlineStr">
        <is>
          <t>Story 4-4: 서버를 외부에 배포하여 확장 프로그램과 통신할 수 있다</t>
        </is>
      </c>
      <c r="C7" s="27" t="inlineStr">
        <is>
          <t>Closed</t>
        </is>
      </c>
      <c r="D7" s="34" t="inlineStr">
        <is>
          <t>중복으로 닫기</t>
        </is>
      </c>
      <c r="E7" s="34" t="inlineStr">
        <is>
          <t>#78(Story 4-3)과 제목 동일, 부모 없음</t>
        </is>
      </c>
      <c r="F7" s="33" t="inlineStr">
        <is>
          <t>#77</t>
        </is>
      </c>
    </row>
    <row r="8">
      <c r="A8" s="35" t="n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2026-10-19T08:17:04Z</dcterms:created>
  <dcterms:modified xsi:type="dcterms:W3CDTF">2026-10-20T03:26:48Z</dcterms:modified>
  <cp:lastModifiedBy>m81609298@gmail.com</cp:lastModifiedBy>
  <cp:revision>0</cp:revision>
</cp:coreProperties>
</file>